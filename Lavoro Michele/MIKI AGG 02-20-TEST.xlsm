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QUONTAINER\Qontainer\Lavoro Michele\"/>
    </mc:Choice>
  </mc:AlternateContent>
  <xr:revisionPtr revIDLastSave="0" documentId="13_ncr:1_{38D534CB-FA08-4062-B9B4-2167EF6A9B95}" xr6:coauthVersionLast="41" xr6:coauthVersionMax="41" xr10:uidLastSave="{00000000-0000-0000-0000-000000000000}"/>
  <bookViews>
    <workbookView xWindow="-120" yWindow="-120" windowWidth="29040" windowHeight="15840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7" i="11" l="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8" i="11"/>
  <c r="Q308" i="11" s="1"/>
  <c r="P307" i="11"/>
  <c r="Q307" i="11" s="1"/>
  <c r="P299" i="11"/>
  <c r="Q299" i="11" s="1"/>
  <c r="P298" i="11"/>
  <c r="Q298" i="11" s="1"/>
  <c r="P297" i="11"/>
  <c r="Q297" i="11" s="1"/>
  <c r="P296" i="11"/>
  <c r="Q296" i="11" s="1"/>
  <c r="P292" i="11"/>
  <c r="Q292" i="11" s="1"/>
  <c r="P291" i="11"/>
  <c r="Q291" i="11" s="1"/>
  <c r="P290" i="11"/>
  <c r="Q290" i="11" s="1"/>
  <c r="P289" i="11"/>
  <c r="Q289" i="11" s="1"/>
  <c r="P288" i="11"/>
  <c r="Q288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P9" i="11"/>
  <c r="Q9" i="11" s="1"/>
  <c r="P8" i="11"/>
  <c r="Q8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<sst xmlns="http://schemas.openxmlformats.org/spreadsheetml/2006/main" count="1278" uniqueCount="916">
  <si>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</si>
  <si>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</si>
  <si>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</si>
  <si>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</si>
  <si>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</si>
  <si>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</si>
  <si>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</si>
  <si>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</si>
  <si>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</si>
  <si>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</si>
  <si>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</si>
  <si>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</si>
  <si>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</si>
  <si>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</si>
  <si>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</si>
  <si>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</si>
  <si>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</si>
  <si>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</si>
  <si>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</si>
  <si>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</si>
  <si>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</si>
  <si>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</si>
  <si>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</si>
  <si>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</si>
  <si>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</si>
  <si>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</si>
  <si>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</si>
  <si>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</si>
  <si>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</si>
  <si>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</si>
  <si>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</si>
  <si>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</si>
  <si>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</si>
  <si>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</si>
  <si>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</si>
  <si>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</si>
  <si>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</si>
  <si>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</si>
  <si>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</si>
  <si>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</si>
  <si>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</si>
  <si>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</si>
  <si>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</si>
  <si>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</si>
  <si>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</si>
  <si>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</si>
  <si>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</si>
  <si>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</si>
  <si>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</si>
  <si>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</si>
  <si>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</si>
  <si>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</si>
  <si>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</si>
  <si>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</si>
  <si>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</si>
  <si>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</si>
  <si>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</si>
  <si>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</si>
  <si>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</si>
  <si>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</si>
  <si>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</si>
  <si>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</si>
  <si>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</si>
  <si>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</si>
  <si>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</si>
  <si>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</si>
  <si>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</si>
  <si>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</si>
  <si>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</si>
  <si>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</si>
  <si>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</si>
  <si>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</si>
  <si>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</si>
  <si>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</si>
  <si>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</si>
  <si>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</si>
  <si>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</si>
  <si>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</si>
  <si>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</si>
  <si>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</si>
  <si>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</si>
  <si>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</si>
  <si>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</si>
  <si>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</si>
  <si>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</si>
  <si>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</si>
  <si>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</si>
  <si>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</si>
  <si>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</si>
  <si>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</si>
  <si>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</si>
  <si>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</si>
  <si>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</si>
  <si>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</si>
  <si>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</si>
  <si>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</si>
  <si>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</si>
  <si>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</si>
  <si>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</si>
  <si>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</si>
  <si>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</si>
  <si>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</si>
  <si>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</si>
  <si>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</si>
  <si>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</si>
  <si>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</si>
  <si>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</si>
  <si>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</si>
  <si>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</si>
  <si>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</si>
  <si>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</si>
  <si>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</si>
  <si>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</si>
  <si>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</si>
  <si>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</si>
  <si>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</si>
  <si>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</si>
  <si>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</si>
  <si>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</si>
  <si>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</si>
  <si>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</si>
  <si>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</si>
  <si>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</si>
  <si>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</si>
  <si>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</si>
  <si>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</si>
  <si>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</si>
  <si>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</si>
  <si>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</si>
  <si>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</si>
  <si>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</si>
  <si>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</si>
  <si>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</si>
  <si>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</si>
  <si>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</si>
  <si>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</si>
  <si>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</si>
  <si>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</si>
  <si>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</si>
  <si>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</si>
  <si>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</si>
  <si>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</si>
  <si>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</si>
  <si>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</si>
  <si>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</si>
  <si>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</si>
  <si>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</si>
  <si>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</si>
  <si>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</si>
  <si>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</si>
  <si>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</si>
  <si>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</si>
  <si>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</si>
  <si>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</si>
  <si>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</si>
  <si>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</si>
  <si>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</si>
  <si>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</si>
  <si>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</si>
  <si>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</si>
  <si>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</si>
  <si>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</si>
  <si>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</si>
  <si>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</si>
  <si>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</si>
  <si>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</si>
  <si>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</si>
  <si>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</si>
  <si>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</si>
  <si>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</si>
  <si>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</si>
  <si>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</si>
  <si>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</si>
  <si>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</si>
  <si>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</si>
  <si>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</si>
  <si>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</si>
  <si>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</si>
  <si>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</si>
  <si>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</si>
  <si>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</si>
  <si>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</si>
  <si>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</si>
  <si>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</si>
  <si>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</si>
  <si>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</si>
  <si>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</si>
  <si>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</si>
  <si>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</si>
  <si>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</si>
  <si>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</si>
  <si>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</si>
  <si>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</si>
  <si>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</si>
  <si>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</si>
  <si>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</si>
  <si>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</si>
  <si>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</si>
  <si>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</si>
  <si>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</si>
  <si>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</si>
  <si>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</si>
  <si>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</si>
  <si>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</si>
  <si>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</si>
  <si>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</si>
  <si>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</si>
  <si>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</si>
  <si>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</si>
  <si>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</si>
  <si>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</si>
  <si>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</si>
  <si>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</si>
  <si>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</si>
  <si>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</si>
  <si>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</si>
  <si>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</si>
  <si>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</si>
  <si>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</si>
  <si>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</si>
  <si>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</si>
  <si>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</si>
  <si>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</si>
  <si>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</si>
  <si>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</si>
  <si>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</si>
  <si>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</si>
  <si>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</si>
  <si>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</si>
  <si>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</si>
  <si>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</si>
  <si>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</si>
  <si>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</si>
  <si>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</si>
  <si>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</si>
  <si>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</si>
  <si>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</si>
  <si>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</si>
  <si>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</si>
  <si>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</si>
  <si>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</si>
  <si>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</si>
  <si>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</si>
  <si>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</si>
  <si>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</si>
  <si>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</si>
  <si>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</si>
  <si>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</si>
  <si>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</si>
  <si>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</si>
  <si>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</si>
  <si>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</si>
  <si>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</si>
  <si>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</si>
  <si>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</si>
  <si>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</si>
  <si>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</si>
  <si>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</si>
  <si>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</si>
  <si>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</si>
  <si>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</si>
  <si>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</si>
  <si>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</si>
  <si>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</si>
  <si>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</si>
  <si>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</si>
  <si>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</si>
  <si>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</si>
  <si>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</si>
  <si>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</si>
  <si>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</si>
  <si>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</si>
  <si>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</si>
  <si>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</si>
  <si>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</si>
  <si>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</si>
  <si>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</si>
  <si>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</si>
  <si>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</si>
  <si>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</si>
  <si>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</si>
  <si>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</si>
  <si>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</si>
  <si>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</si>
  <si>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</si>
  <si>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</si>
  <si>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</si>
  <si>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</si>
  <si>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</si>
  <si>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</si>
  <si>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</si>
  <si>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</si>
  <si>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</si>
  <si>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</si>
  <si>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</si>
  <si>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</si>
  <si>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</si>
  <si>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</si>
  <si>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</si>
  <si>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</si>
  <si>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</si>
  <si>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</si>
  <si>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</si>
  <si>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</si>
  <si>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</si>
  <si>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</si>
  <si>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</si>
  <si>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</si>
  <si>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</si>
  <si>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</si>
  <si>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</si>
  <si>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</si>
  <si>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</si>
  <si>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</si>
  <si>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</si>
  <si>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</si>
  <si>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</si>
  <si>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</si>
  <si>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</si>
  <si>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</si>
  <si>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</si>
  <si>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</si>
  <si>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</si>
  <si>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</si>
  <si>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</si>
  <si>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</si>
  <si>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</si>
  <si>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</si>
  <si>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</si>
  <si>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</si>
  <si>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</si>
  <si>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</si>
  <si>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</si>
  <si>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</si>
  <si>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</si>
  <si>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</si>
  <si>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</si>
  <si>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</si>
  <si>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</si>
  <si>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</si>
  <si>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</si>
  <si>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</si>
  <si>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</si>
  <si>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</si>
  <si>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</si>
  <si>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</si>
  <si>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</si>
  <si>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</si>
  <si>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</si>
  <si>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</si>
  <si>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</si>
  <si>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</si>
  <si>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</si>
  <si>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</si>
  <si>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</si>
  <si>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</si>
  <si>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</si>
  <si>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</si>
  <si>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</si>
  <si>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</si>
  <si>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</si>
  <si>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</si>
  <si>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</si>
  <si>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</si>
  <si>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</si>
  <si>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</si>
  <si>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</si>
  <si>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</si>
  <si>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</si>
  <si>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</si>
  <si>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</si>
  <si>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</si>
  <si>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</si>
  <si>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</si>
  <si>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</si>
  <si>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</si>
  <si>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</si>
  <si>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</si>
  <si>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</si>
  <si>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</si>
  <si>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</si>
  <si>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</si>
  <si>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</si>
  <si>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</si>
  <si>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</si>
  <si>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</si>
  <si>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</si>
  <si>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</si>
  <si>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</si>
  <si>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</si>
  <si>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</si>
  <si>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</si>
  <si>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</si>
  <si>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</si>
  <si>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</si>
  <si>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</si>
  <si>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</si>
  <si>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</si>
  <si>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</si>
  <si>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</si>
  <si>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</si>
  <si>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</si>
  <si>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</si>
  <si>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</si>
  <si>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</si>
  <si>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</si>
  <si>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</si>
  <si>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</si>
  <si>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</si>
  <si>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</si>
  <si>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</si>
  <si>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</si>
  <si>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</si>
  <si>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</si>
  <si>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</si>
  <si>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</si>
  <si>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</si>
  <si>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</si>
  <si>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</si>
  <si>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</si>
  <si>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</si>
  <si>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</si>
  <si>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</si>
  <si>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</si>
  <si>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</si>
  <si>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</si>
  <si>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</si>
  <si>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</si>
  <si>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</si>
  <si>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</si>
  <si>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</si>
  <si>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</si>
  <si>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</si>
  <si>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</si>
  <si>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</si>
  <si>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</si>
  <si>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</si>
  <si>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</si>
  <si>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</si>
  <si>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</si>
  <si>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</si>
  <si>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</si>
  <si>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</si>
  <si>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</si>
  <si>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</si>
  <si>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</si>
  <si>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</si>
  <si>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</si>
  <si>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</si>
  <si>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</si>
  <si>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</si>
  <si>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</si>
  <si>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</si>
  <si>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</si>
  <si>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</si>
  <si>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</si>
  <si>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</si>
  <si>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</si>
  <si>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</si>
  <si>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</si>
  <si>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</si>
  <si>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</si>
  <si>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</si>
  <si>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</si>
  <si>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</si>
  <si>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</si>
  <si>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</si>
  <si>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</si>
  <si>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</si>
  <si>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</si>
  <si>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</si>
  <si>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</si>
  <si>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</si>
  <si>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</si>
  <si>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</si>
  <si>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</si>
  <si>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</si>
  <si>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</si>
  <si>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</si>
  <si>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</si>
  <si>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</si>
  <si>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</si>
  <si>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</si>
  <si>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</si>
  <si>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</si>
  <si>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</si>
  <si>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</si>
  <si>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</si>
  <si>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</si>
  <si>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</si>
  <si>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</si>
  <si>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</si>
  <si>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</si>
  <si>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</si>
  <si>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</si>
  <si>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</si>
  <si>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</si>
  <si>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</si>
  <si>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</si>
  <si>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</si>
  <si>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</si>
  <si>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</si>
  <si>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</si>
  <si>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</si>
  <si>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</si>
  <si>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</si>
  <si>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</si>
  <si>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</si>
  <si>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</si>
  <si>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</si>
  <si>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</si>
  <si>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</si>
  <si>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</si>
  <si>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</si>
  <si>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</si>
  <si>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</si>
  <si>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</si>
  <si>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</si>
  <si>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</si>
  <si>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</si>
  <si>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</si>
  <si>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</si>
  <si>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</si>
  <si>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</si>
  <si>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</si>
  <si>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</si>
  <si>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</si>
  <si>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</si>
  <si>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</si>
  <si>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</si>
  <si>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</si>
  <si>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</si>
  <si>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</si>
  <si>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</si>
  <si>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</si>
  <si>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</si>
  <si>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</si>
  <si>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</si>
  <si>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</si>
  <si>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</si>
  <si>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</si>
  <si>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</si>
  <si>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</si>
  <si>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</si>
  <si>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</si>
  <si>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</si>
  <si>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</si>
  <si>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</si>
  <si>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</si>
  <si>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</si>
  <si>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</si>
  <si>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</si>
  <si>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</si>
  <si>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</si>
  <si>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</si>
  <si>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</si>
  <si>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</si>
  <si>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</si>
  <si>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</si>
  <si>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</si>
  <si>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</si>
  <si>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</si>
  <si>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</si>
  <si>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</si>
  <si>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</si>
  <si>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</si>
  <si>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</si>
  <si>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</si>
  <si>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</si>
  <si>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</si>
  <si>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</si>
  <si>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</si>
  <si>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</si>
  <si>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</si>
  <si>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</si>
  <si>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</si>
  <si>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</si>
  <si>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</si>
  <si>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</si>
  <si>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</si>
  <si>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</si>
  <si>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</si>
  <si>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</si>
  <si>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</si>
  <si>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</si>
  <si>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</si>
  <si>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</si>
  <si>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</si>
  <si>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</si>
  <si>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</si>
  <si>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</si>
  <si>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</si>
  <si>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</si>
  <si>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</si>
  <si>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</si>
  <si>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</si>
  <si>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</si>
  <si>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</si>
  <si>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</si>
  <si>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</si>
  <si>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</si>
  <si>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</si>
  <si>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</si>
  <si>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</si>
  <si>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</si>
  <si>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</si>
  <si>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</si>
  <si>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</si>
  <si>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</si>
  <si>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</si>
  <si>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</si>
  <si>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</si>
  <si>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</si>
  <si>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</si>
  <si>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</si>
  <si>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</si>
  <si>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</si>
  <si>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</si>
  <si>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</si>
  <si>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</si>
  <si>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</si>
  <si>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</si>
  <si>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</si>
  <si>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</si>
  <si>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</si>
  <si>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</si>
  <si>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</si>
  <si>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</si>
  <si>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</si>
  <si>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</si>
  <si>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</si>
  <si>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</si>
  <si>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</si>
  <si>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</si>
  <si>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</si>
  <si>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</si>
  <si>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</si>
  <si>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</si>
  <si>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</si>
  <si>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</si>
  <si>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</si>
  <si>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</si>
  <si>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</si>
  <si>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</si>
  <si>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</si>
  <si>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</si>
  <si>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</si>
  <si>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</si>
  <si>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</si>
  <si>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</si>
  <si>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</si>
  <si>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</si>
  <si>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</si>
  <si>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</si>
  <si>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</si>
  <si>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</si>
  <si>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</si>
  <si>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</si>
  <si>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</si>
  <si>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</si>
  <si>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</si>
  <si>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</si>
  <si>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</si>
  <si>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</si>
  <si>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</si>
  <si>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</si>
  <si>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</si>
  <si>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</si>
  <si>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</si>
  <si>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</si>
  <si>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</si>
  <si>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</si>
  <si>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</si>
  <si>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</si>
  <si>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</si>
  <si>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</si>
  <si>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</si>
  <si>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</si>
  <si>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</si>
  <si>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</si>
  <si>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</si>
  <si>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</si>
  <si>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</si>
  <si>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</si>
  <si>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</si>
  <si>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</si>
  <si>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</si>
  <si>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</si>
  <si>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</si>
  <si>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</si>
  <si>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</si>
  <si>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</si>
  <si>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</si>
  <si>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</si>
  <si>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</si>
  <si>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</si>
  <si>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</si>
  <si>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</si>
  <si>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</si>
  <si>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</si>
  <si>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</si>
  <si>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</si>
  <si>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</si>
  <si>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</si>
  <si>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</si>
  <si>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</si>
  <si>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</si>
  <si>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</si>
  <si>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</si>
  <si>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</si>
  <si>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</si>
  <si>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</si>
  <si>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</si>
  <si>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</si>
  <si>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</si>
  <si>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</si>
  <si>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</si>
  <si>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</si>
  <si>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</si>
  <si>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</si>
  <si>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</si>
  <si>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</si>
  <si>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</si>
  <si>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</si>
  <si>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</si>
  <si>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</si>
  <si>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</si>
  <si>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</si>
  <si>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</si>
  <si>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</si>
  <si>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</si>
  <si>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</si>
  <si>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</si>
  <si>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</si>
  <si>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</si>
  <si>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</si>
  <si>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</si>
  <si>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</si>
  <si>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</si>
  <si>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</si>
  <si>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</si>
  <si>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</si>
  <si>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</si>
  <si>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</si>
  <si>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</si>
  <si>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</si>
  <si>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</si>
  <si>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</si>
  <si>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</si>
  <si>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</si>
  <si>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</si>
  <si>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</si>
  <si>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</si>
  <si>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</si>
  <si>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</si>
  <si>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</si>
  <si>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</si>
  <si>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</si>
  <si>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</si>
  <si>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</si>
  <si>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</si>
  <si>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</si>
  <si>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</si>
  <si>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</si>
  <si>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</si>
  <si>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</si>
  <si>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</si>
  <si>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</si>
  <si>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</si>
  <si>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</si>
  <si>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</si>
  <si>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</si>
  <si>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</si>
  <si>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</si>
  <si>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</si>
  <si>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</si>
  <si>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</si>
  <si>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</si>
  <si>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</si>
  <si>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</si>
  <si>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</si>
  <si>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</si>
  <si>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</si>
  <si>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</si>
  <si>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</si>
  <si>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</si>
  <si>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</si>
  <si>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</si>
  <si>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</si>
  <si>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</si>
  <si>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</si>
  <si>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</si>
  <si>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</si>
  <si>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</si>
  <si>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</si>
  <si>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</si>
  <si>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</si>
  <si>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</si>
  <si>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</si>
  <si>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</si>
  <si>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</si>
  <si>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</si>
  <si>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</si>
  <si>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</si>
  <si>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</si>
  <si>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</si>
  <si>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</si>
  <si>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</si>
  <si>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</si>
  <si>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</si>
  <si>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</si>
  <si>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</si>
  <si>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</si>
  <si>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</si>
  <si>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</si>
  <si>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</si>
  <si>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</si>
  <si>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</si>
  <si>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</si>
  <si>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</si>
  <si>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</si>
  <si>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</si>
  <si>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</si>
  <si>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</si>
  <si>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</si>
  <si>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</si>
  <si>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</si>
  <si>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</si>
  <si>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</si>
  <si>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</si>
  <si>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</si>
  <si>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</si>
  <si>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</si>
  <si>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</si>
  <si>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</si>
  <si>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</si>
  <si>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</si>
  <si>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</si>
  <si>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</si>
  <si>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</si>
  <si>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</si>
  <si>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</si>
  <si>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</si>
  <si>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</si>
  <si>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</si>
  <si>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</si>
  <si>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</si>
  <si>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</si>
  <si>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</si>
  <si>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</si>
  <si>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</si>
  <si>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</si>
  <si>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</si>
  <si>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</si>
  <si>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</si>
  <si>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</si>
  <si>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</si>
  <si>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</si>
  <si>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</si>
  <si>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</si>
  <si>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</si>
  <si>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</si>
  <si>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</si>
  <si>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</si>
  <si>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</si>
  <si>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</si>
  <si>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</si>
  <si>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</si>
  <si>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</si>
  <si>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</si>
  <si>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</si>
  <si>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</si>
  <si>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</si>
  <si>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</si>
  <si>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</si>
  <si>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</si>
  <si>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</si>
  <si>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</si>
  <si>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</si>
  <si>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</si>
  <si>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</si>
  <si>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</si>
  <si>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</si>
  <si>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</si>
  <si>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</si>
  <si>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</si>
  <si>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</si>
  <si>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</si>
  <si>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</si>
  <si>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</si>
  <si>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</si>
  <si>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</si>
  <si>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</si>
  <si>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</si>
  <si>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</si>
  <si>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</si>
  <si>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</si>
  <si>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</si>
  <si>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</si>
  <si>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</si>
  <si>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</si>
  <si>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</si>
  <si>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</si>
  <si>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</si>
  <si>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</si>
  <si>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</si>
  <si>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</si>
  <si>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</si>
  <si>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</si>
  <si>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</si>
  <si>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</si>
  <si>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PREZZO PUBBLICO</t>
  </si>
  <si>
    <t>PERCENTUALE</t>
  </si>
  <si>
    <t>PREZZO SCONTO</t>
  </si>
  <si>
    <t>PREZZO TEAM</t>
  </si>
  <si>
    <t>QUANTITA' ORDINATA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</si>
</sst>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40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8"/>
      <name val="Arial"/>
      <family val="2"/>
    </font>
    <font>
      <b/>
      <sz val="28"/>
      <color rgb="FF00008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6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35" fillId="0" borderId="0" xfId="0" applyFont="1"/>
    <xf numFmtId="0" fontId="36" fillId="0" borderId="0" xfId="0" applyFont="1"/>
    <xf numFmtId="2" fontId="36" fillId="0" borderId="0" xfId="0" applyNumberFormat="1" applyFont="1"/>
    <xf numFmtId="10" fontId="36" fillId="0" borderId="0" xfId="0" applyNumberFormat="1" applyFont="1"/>
    <xf numFmtId="0" fontId="37" fillId="0" borderId="0" xfId="0" applyFont="1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38" fillId="0" borderId="0" xfId="0" applyFont="1" applyBorder="1" applyAlignment="1">
      <alignment horizontal="left" vertical="center"/>
    </xf>
    <xf numFmtId="0" fontId="5" fillId="0" borderId="1" xfId="0" applyFont="1" applyFill="1" applyBorder="1"/>
    <xf numFmtId="0" fontId="1" fillId="8" borderId="1" xfId="0" applyFont="1" applyFill="1" applyBorder="1" applyAlignment="1">
      <alignment horizontal="center" vertical="center" wrapText="1"/>
    </xf>
    <xf numFmtId="0" fontId="5" fillId="8" borderId="1" xfId="0" applyFont="1" applyFill="1" applyBorder="1"/>
    <xf numFmtId="0" fontId="0" fillId="8" borderId="1" xfId="0" applyFill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Border="1"/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5" fillId="9" borderId="1" xfId="0" applyFont="1" applyFill="1" applyBorder="1"/>
  </cellXfs>
  <cellStyles count="3">
    <cellStyle name="Migliaia" xfId="1" builtinId="3"/>
    <cellStyle name="Normale" xfId="0" builtinId="0"/>
    <cellStyle name="Valuta" xfId="2" builtinId="4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457200</xdr:colOff>
          <xdr:row>0</xdr:row>
          <xdr:rowOff>0</xdr:rowOff>
        </xdr:from>
        <xdr:to>
          <xdr:col>22</xdr:col>
          <xdr:colOff>676275</xdr:colOff>
          <xdr:row>0</xdr:row>
          <xdr:rowOff>819150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ESEGUI PRELIEVO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0</xdr:rowOff>
        </xdr:from>
        <xdr:to>
          <xdr:col>11</xdr:col>
          <xdr:colOff>514350</xdr:colOff>
          <xdr:row>1</xdr:row>
          <xdr:rowOff>19050</xdr:rowOff>
        </xdr:to>
        <xdr:sp macro="" textlink="">
          <xdr:nvSpPr>
            <xdr:cNvPr id="11268" name="ELIMINA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A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5" x14ac:dyDescent="0.25"/>
  <cols>
    <col min="1" max="1" width="5.42578125"/>
    <col min="2" max="2" width="8.42578125"/>
    <col min="3" max="3" width="52.85546875"/>
    <col min="4" max="6" width="12.85546875"/>
    <col min="7" max="7" width="13.28515625"/>
    <col min="8" max="8" width="7.28515625"/>
    <col min="9" max="9" width="15.85546875"/>
    <col min="10" max="10" width="12.85546875"/>
    <col min="11" max="11" width="7.28515625"/>
    <col min="12" max="12" width="15.7109375"/>
    <col min="13" max="13" width="8.28515625"/>
    <col min="14" max="1025" width="7.28515625"/>
  </cols>
  <sheetData>
    <row r="1" spans="1:14" x14ac:dyDescent="0.25">
      <c r="A1" s="134" t="s">
        <v>0</v>
      </c>
      <c r="B1" s="134"/>
      <c r="C1" s="134"/>
      <c r="D1" s="134"/>
      <c r="E1" s="134"/>
      <c r="F1" s="134"/>
      <c r="G1" s="134"/>
    </row>
    <row r="2" spans="1:14" x14ac:dyDescent="0.25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75" x14ac:dyDescent="0.25">
      <c r="A3" s="4">
        <v>1</v>
      </c>
      <c r="B3" s="5"/>
      <c r="C3" s="6" t="s">
        <v>7</v>
      </c>
      <c r="D3" s="5"/>
      <c r="E3" s="5"/>
      <c r="F3" s="7"/>
      <c r="G3" s="5"/>
      <c r="I3" s="135" t="s">
        <v>8</v>
      </c>
      <c r="J3" s="135"/>
      <c r="L3" s="135" t="s">
        <v>9</v>
      </c>
      <c r="M3" s="135"/>
    </row>
    <row r="4" spans="1:14" x14ac:dyDescent="0.25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25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25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25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25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25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25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25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25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25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25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25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25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75" x14ac:dyDescent="0.25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75" x14ac:dyDescent="0.25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25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25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25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25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25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25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25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25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25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25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25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25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75" x14ac:dyDescent="0.25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25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25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25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25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25">
      <c r="A36" s="4">
        <v>34</v>
      </c>
      <c r="B36" s="23"/>
      <c r="C36" s="4"/>
      <c r="D36" s="24"/>
      <c r="E36" s="24"/>
      <c r="F36" s="24"/>
      <c r="G36" s="4"/>
    </row>
    <row r="37" spans="1:13" x14ac:dyDescent="0.25">
      <c r="A37" s="4">
        <v>35</v>
      </c>
      <c r="B37" s="23"/>
      <c r="C37" s="4"/>
      <c r="D37" s="24"/>
      <c r="E37" s="24"/>
      <c r="F37" s="24"/>
      <c r="G37" s="4"/>
    </row>
    <row r="38" spans="1:13" x14ac:dyDescent="0.25">
      <c r="A38" s="4">
        <v>36</v>
      </c>
      <c r="B38" s="4"/>
      <c r="C38" s="4"/>
      <c r="D38" s="24"/>
      <c r="E38" s="24"/>
      <c r="F38" s="24"/>
      <c r="G38" s="4"/>
    </row>
    <row r="39" spans="1:13" x14ac:dyDescent="0.25">
      <c r="A39" s="4">
        <v>37</v>
      </c>
      <c r="B39" s="4"/>
      <c r="C39" s="4"/>
      <c r="D39" s="24"/>
      <c r="E39" s="24"/>
      <c r="F39" s="24"/>
      <c r="G39" s="4"/>
    </row>
    <row r="40" spans="1:13" x14ac:dyDescent="0.25">
      <c r="A40" s="4">
        <v>38</v>
      </c>
      <c r="B40" s="4"/>
      <c r="C40" s="4"/>
      <c r="D40" s="24"/>
      <c r="E40" s="24"/>
      <c r="F40" s="24"/>
      <c r="G40" s="4"/>
    </row>
    <row r="41" spans="1:13" x14ac:dyDescent="0.25">
      <c r="A41" s="4">
        <v>39</v>
      </c>
      <c r="B41" s="7"/>
      <c r="C41" s="7"/>
      <c r="D41" s="9"/>
      <c r="E41" s="7"/>
      <c r="F41" s="7"/>
      <c r="G41" s="7"/>
    </row>
    <row r="42" spans="1:13" x14ac:dyDescent="0.25">
      <c r="A42" s="4">
        <v>40</v>
      </c>
      <c r="B42" s="7"/>
      <c r="C42" s="7"/>
      <c r="D42" s="7"/>
      <c r="E42" s="7"/>
      <c r="F42" s="7"/>
      <c r="G42" s="7"/>
    </row>
    <row r="43" spans="1:13" x14ac:dyDescent="0.25">
      <c r="A43" s="4">
        <v>41</v>
      </c>
      <c r="B43" s="23"/>
      <c r="C43" s="4"/>
      <c r="D43" s="24"/>
      <c r="E43" s="24"/>
      <c r="F43" s="24"/>
      <c r="G43" s="4"/>
    </row>
    <row r="44" spans="1:13" x14ac:dyDescent="0.25">
      <c r="A44" s="4">
        <v>42</v>
      </c>
      <c r="B44" s="23"/>
      <c r="C44" s="4"/>
      <c r="D44" s="24"/>
      <c r="E44" s="24"/>
      <c r="F44" s="24"/>
      <c r="G44" s="4"/>
    </row>
    <row r="45" spans="1:13" x14ac:dyDescent="0.25">
      <c r="A45" s="4">
        <v>43</v>
      </c>
      <c r="B45" s="4"/>
      <c r="C45" s="4"/>
      <c r="D45" s="24"/>
      <c r="E45" s="24"/>
      <c r="F45" s="24"/>
      <c r="G45" s="4"/>
    </row>
    <row r="46" spans="1:13" x14ac:dyDescent="0.25">
      <c r="A46" s="4">
        <v>44</v>
      </c>
      <c r="B46" s="4"/>
      <c r="C46" s="4"/>
      <c r="D46" s="24"/>
      <c r="E46" s="24"/>
      <c r="F46" s="24"/>
      <c r="G46" s="4"/>
    </row>
    <row r="47" spans="1:13" x14ac:dyDescent="0.25">
      <c r="A47" s="4">
        <v>45</v>
      </c>
      <c r="B47" s="4"/>
      <c r="C47" s="4"/>
      <c r="D47" s="24"/>
      <c r="E47" s="24"/>
      <c r="F47" s="24"/>
      <c r="G47" s="4"/>
    </row>
    <row r="48" spans="1:13" x14ac:dyDescent="0.25">
      <c r="A48" s="4">
        <v>46</v>
      </c>
      <c r="B48" s="4"/>
      <c r="C48" s="4"/>
      <c r="D48" s="24"/>
      <c r="E48" s="24"/>
      <c r="F48" s="24"/>
      <c r="G48" s="4"/>
    </row>
    <row r="49" spans="1:7" x14ac:dyDescent="0.25">
      <c r="A49" s="4">
        <v>47</v>
      </c>
      <c r="B49" s="4"/>
      <c r="C49" s="25"/>
      <c r="D49" s="26"/>
      <c r="E49" s="26"/>
      <c r="F49" s="26"/>
      <c r="G49" s="25"/>
    </row>
    <row r="50" spans="1:7" x14ac:dyDescent="0.25">
      <c r="A50" s="4">
        <v>48</v>
      </c>
      <c r="B50" s="5"/>
      <c r="C50" s="5"/>
      <c r="D50" s="27"/>
      <c r="E50" s="5"/>
      <c r="F50" s="7"/>
      <c r="G50" s="4"/>
    </row>
    <row r="51" spans="1:7" ht="15.75" x14ac:dyDescent="0.25">
      <c r="A51" s="4">
        <v>49</v>
      </c>
      <c r="B51" s="4"/>
      <c r="C51" s="28"/>
      <c r="D51" s="29"/>
      <c r="E51" s="29"/>
      <c r="F51" s="29"/>
      <c r="G51" s="1"/>
    </row>
    <row r="52" spans="1:7" x14ac:dyDescent="0.25">
      <c r="A52" s="4">
        <v>50</v>
      </c>
      <c r="B52" s="23"/>
      <c r="C52" s="4"/>
      <c r="D52" s="24"/>
      <c r="E52" s="24"/>
      <c r="F52" s="24"/>
      <c r="G52" s="4"/>
    </row>
    <row r="53" spans="1:7" x14ac:dyDescent="0.25">
      <c r="A53" s="4">
        <v>51</v>
      </c>
      <c r="B53" s="23"/>
      <c r="C53" s="4"/>
      <c r="D53" s="24"/>
      <c r="E53" s="24"/>
      <c r="F53" s="24"/>
      <c r="G53" s="4"/>
    </row>
    <row r="54" spans="1:7" x14ac:dyDescent="0.25">
      <c r="A54" s="4">
        <v>52</v>
      </c>
      <c r="B54" s="23"/>
      <c r="C54" s="4"/>
      <c r="D54" s="24"/>
      <c r="E54" s="24"/>
      <c r="F54" s="24"/>
      <c r="G54" s="4"/>
    </row>
    <row r="55" spans="1:7" x14ac:dyDescent="0.25">
      <c r="A55" s="4">
        <v>53</v>
      </c>
      <c r="B55" s="4"/>
      <c r="C55" s="4"/>
      <c r="D55" s="24"/>
      <c r="E55" s="24"/>
      <c r="F55" s="24"/>
      <c r="G55" s="4"/>
    </row>
    <row r="56" spans="1:7" x14ac:dyDescent="0.25">
      <c r="A56" s="4">
        <v>54</v>
      </c>
      <c r="B56" s="4"/>
      <c r="C56" s="4"/>
      <c r="D56" s="24"/>
      <c r="E56" s="24"/>
      <c r="F56" s="24"/>
      <c r="G56" s="4"/>
    </row>
    <row r="57" spans="1:7" x14ac:dyDescent="0.25">
      <c r="A57" s="4">
        <v>55</v>
      </c>
      <c r="B57" s="4"/>
      <c r="C57" s="4"/>
      <c r="D57" s="24"/>
      <c r="E57" s="24"/>
      <c r="F57" s="24"/>
      <c r="G57" s="4"/>
    </row>
    <row r="58" spans="1:7" x14ac:dyDescent="0.25">
      <c r="A58" s="4">
        <v>56</v>
      </c>
      <c r="B58" s="23"/>
      <c r="C58" s="4"/>
      <c r="D58" s="24"/>
      <c r="E58" s="24"/>
      <c r="F58" s="24"/>
      <c r="G58" s="4"/>
    </row>
    <row r="59" spans="1:7" x14ac:dyDescent="0.25">
      <c r="A59" s="4">
        <v>57</v>
      </c>
      <c r="B59" s="4"/>
      <c r="C59" s="4"/>
      <c r="D59" s="24"/>
      <c r="E59" s="24"/>
      <c r="F59" s="24"/>
      <c r="G59" s="4"/>
    </row>
    <row r="60" spans="1:7" x14ac:dyDescent="0.25">
      <c r="A60" s="4">
        <v>58</v>
      </c>
      <c r="B60" s="4"/>
      <c r="C60" s="4"/>
      <c r="D60" s="24"/>
      <c r="E60" s="24"/>
      <c r="F60" s="24"/>
      <c r="G60" s="4"/>
    </row>
    <row r="61" spans="1:7" x14ac:dyDescent="0.25">
      <c r="A61" s="4">
        <v>59</v>
      </c>
      <c r="B61" s="4"/>
      <c r="C61" s="4"/>
      <c r="D61" s="24"/>
      <c r="E61" s="24"/>
      <c r="F61" s="24"/>
      <c r="G61" s="4"/>
    </row>
    <row r="62" spans="1:7" x14ac:dyDescent="0.25">
      <c r="A62" s="4">
        <v>60</v>
      </c>
      <c r="B62" s="4"/>
      <c r="C62" s="4"/>
      <c r="D62" s="24"/>
      <c r="E62" s="24"/>
      <c r="F62" s="24"/>
      <c r="G62" s="4"/>
    </row>
    <row r="63" spans="1:7" x14ac:dyDescent="0.25">
      <c r="A63" s="4">
        <v>61</v>
      </c>
      <c r="B63" s="5"/>
      <c r="C63" s="7"/>
      <c r="D63" s="30"/>
      <c r="E63" s="7"/>
      <c r="F63" s="7"/>
      <c r="G63" s="7"/>
    </row>
    <row r="64" spans="1:7" x14ac:dyDescent="0.25">
      <c r="A64" s="4">
        <v>62</v>
      </c>
      <c r="B64" s="5"/>
      <c r="C64" s="7"/>
      <c r="D64" s="15"/>
      <c r="E64" s="5"/>
      <c r="F64" s="7"/>
      <c r="G64" s="5"/>
    </row>
    <row r="65" spans="1:7" x14ac:dyDescent="0.25">
      <c r="A65" s="4"/>
      <c r="B65" s="31"/>
      <c r="C65" s="32"/>
      <c r="D65" s="33"/>
      <c r="E65" s="31"/>
      <c r="F65" s="32"/>
      <c r="G65" s="31"/>
    </row>
    <row r="66" spans="1:7" x14ac:dyDescent="0.25">
      <c r="A66" s="7"/>
      <c r="B66" s="5"/>
      <c r="C66" s="7"/>
      <c r="D66" s="15"/>
      <c r="E66" s="5"/>
      <c r="F66" s="7"/>
      <c r="G66" s="5"/>
    </row>
    <row r="67" spans="1:7" x14ac:dyDescent="0.25">
      <c r="A67" s="7"/>
      <c r="B67" s="23"/>
      <c r="C67" s="4"/>
      <c r="D67" s="24"/>
      <c r="E67" s="24"/>
      <c r="F67" s="24"/>
      <c r="G67" s="4"/>
    </row>
    <row r="68" spans="1:7" x14ac:dyDescent="0.25">
      <c r="A68" s="5"/>
      <c r="B68" s="4"/>
      <c r="C68" s="4"/>
      <c r="D68" s="24"/>
      <c r="E68" s="24"/>
      <c r="F68" s="24"/>
      <c r="G68" s="4"/>
    </row>
    <row r="69" spans="1:7" x14ac:dyDescent="0.25">
      <c r="A69" s="5"/>
      <c r="B69" s="23"/>
      <c r="C69" s="4"/>
      <c r="D69" s="24"/>
      <c r="E69" s="24"/>
      <c r="F69" s="24"/>
      <c r="G69" s="4"/>
    </row>
    <row r="70" spans="1:7" x14ac:dyDescent="0.25">
      <c r="A70" s="5"/>
      <c r="B70" s="4"/>
      <c r="C70" s="4"/>
      <c r="D70" s="24"/>
      <c r="E70" s="24"/>
      <c r="F70" s="24"/>
      <c r="G70" s="4"/>
    </row>
    <row r="71" spans="1:7" x14ac:dyDescent="0.25">
      <c r="A71" s="5"/>
      <c r="B71" s="4"/>
      <c r="C71" s="4"/>
      <c r="D71" s="24"/>
      <c r="E71" s="24"/>
      <c r="F71" s="24"/>
      <c r="G71" s="4"/>
    </row>
    <row r="72" spans="1:7" x14ac:dyDescent="0.25">
      <c r="A72" s="5"/>
      <c r="B72" s="5"/>
      <c r="C72" s="7"/>
      <c r="D72" s="30"/>
      <c r="E72" s="24"/>
      <c r="F72" s="24"/>
      <c r="G72" s="4"/>
    </row>
    <row r="73" spans="1:7" x14ac:dyDescent="0.25">
      <c r="A73" s="5"/>
      <c r="B73" s="23"/>
      <c r="C73" s="4"/>
      <c r="D73" s="24"/>
      <c r="E73" s="24"/>
      <c r="F73" s="24"/>
      <c r="G73" s="4"/>
    </row>
    <row r="74" spans="1:7" x14ac:dyDescent="0.25">
      <c r="A74" s="5"/>
      <c r="B74" s="4"/>
      <c r="C74" s="4"/>
      <c r="D74" s="24"/>
      <c r="E74" s="24"/>
      <c r="F74" s="24"/>
      <c r="G74" s="4"/>
    </row>
    <row r="75" spans="1:7" x14ac:dyDescent="0.25">
      <c r="A75" s="5"/>
      <c r="B75" s="4"/>
      <c r="C75" s="34"/>
      <c r="D75" s="35"/>
      <c r="E75" s="24"/>
      <c r="F75" s="24"/>
      <c r="G75" s="34"/>
    </row>
    <row r="76" spans="1:7" x14ac:dyDescent="0.25">
      <c r="A76" s="5"/>
      <c r="B76" s="5"/>
      <c r="C76" s="5"/>
      <c r="D76" s="5"/>
      <c r="E76" s="5"/>
      <c r="F76" s="7"/>
      <c r="G76" s="5"/>
    </row>
    <row r="77" spans="1:7" ht="15.75" x14ac:dyDescent="0.25">
      <c r="A77" s="5"/>
      <c r="B77" s="5"/>
      <c r="C77" s="6"/>
      <c r="D77" s="2"/>
      <c r="E77" s="2"/>
      <c r="F77" s="2"/>
      <c r="G77" s="2"/>
    </row>
    <row r="78" spans="1:7" x14ac:dyDescent="0.25">
      <c r="A78" s="7"/>
      <c r="B78" s="7"/>
      <c r="C78" s="7"/>
      <c r="D78" s="9"/>
      <c r="E78" s="9"/>
      <c r="F78" s="10"/>
      <c r="G78" s="9"/>
    </row>
    <row r="79" spans="1:7" x14ac:dyDescent="0.25">
      <c r="A79" s="7"/>
      <c r="B79" s="7"/>
      <c r="C79" s="7"/>
      <c r="D79" s="9"/>
      <c r="E79" s="9"/>
      <c r="F79" s="10"/>
      <c r="G79" s="9"/>
    </row>
    <row r="80" spans="1:7" x14ac:dyDescent="0.25">
      <c r="A80" s="7"/>
      <c r="B80" s="7"/>
      <c r="C80" s="7"/>
      <c r="D80" s="9"/>
      <c r="E80" s="9"/>
      <c r="F80" s="10"/>
      <c r="G80" s="9"/>
    </row>
    <row r="81" spans="1:7" x14ac:dyDescent="0.25">
      <c r="A81" s="7"/>
      <c r="B81" s="7"/>
      <c r="C81" s="7"/>
      <c r="D81" s="9"/>
      <c r="E81" s="9"/>
      <c r="F81" s="10"/>
      <c r="G81" s="9"/>
    </row>
    <row r="82" spans="1:7" x14ac:dyDescent="0.25">
      <c r="A82" s="7"/>
      <c r="B82" s="7"/>
      <c r="C82" s="7"/>
      <c r="D82" s="9"/>
      <c r="E82" s="9"/>
      <c r="F82" s="10"/>
      <c r="G82" s="9"/>
    </row>
    <row r="83" spans="1:7" x14ac:dyDescent="0.25">
      <c r="A83" s="7"/>
      <c r="B83" s="7"/>
      <c r="C83" s="7"/>
      <c r="D83" s="9"/>
      <c r="E83" s="9"/>
      <c r="F83" s="10"/>
      <c r="G83" s="9"/>
    </row>
    <row r="84" spans="1:7" x14ac:dyDescent="0.25">
      <c r="A84" s="7"/>
      <c r="B84" s="7"/>
      <c r="C84" s="7"/>
      <c r="D84" s="9"/>
      <c r="E84" s="9"/>
      <c r="F84" s="10"/>
      <c r="G84" s="9"/>
    </row>
    <row r="85" spans="1:7" x14ac:dyDescent="0.25">
      <c r="A85" s="7"/>
      <c r="B85" s="7"/>
      <c r="C85" s="7"/>
      <c r="D85" s="9"/>
      <c r="E85" s="9"/>
      <c r="F85" s="10"/>
      <c r="G85" s="9"/>
    </row>
    <row r="86" spans="1:7" x14ac:dyDescent="0.25">
      <c r="A86" s="7"/>
      <c r="B86" s="7"/>
      <c r="C86" s="7"/>
      <c r="D86" s="9"/>
      <c r="E86" s="9"/>
      <c r="F86" s="10"/>
      <c r="G86" s="9"/>
    </row>
    <row r="87" spans="1:7" x14ac:dyDescent="0.25">
      <c r="A87" s="7"/>
      <c r="B87" s="7"/>
      <c r="C87" s="7"/>
      <c r="D87" s="9"/>
      <c r="E87" s="9"/>
      <c r="F87" s="10"/>
      <c r="G87" s="9"/>
    </row>
    <row r="88" spans="1:7" x14ac:dyDescent="0.25">
      <c r="A88" s="7"/>
      <c r="B88" s="7"/>
      <c r="C88" s="7"/>
      <c r="D88" s="9"/>
      <c r="E88" s="9"/>
      <c r="F88" s="10"/>
      <c r="G88" s="9"/>
    </row>
    <row r="89" spans="1:7" x14ac:dyDescent="0.25">
      <c r="A89" s="7"/>
      <c r="B89" s="7"/>
      <c r="C89" s="7"/>
      <c r="D89" s="9"/>
      <c r="E89" s="9"/>
      <c r="F89" s="10"/>
      <c r="G89" s="9"/>
    </row>
    <row r="90" spans="1:7" x14ac:dyDescent="0.25">
      <c r="A90" s="7"/>
      <c r="B90" s="7"/>
      <c r="C90" s="7"/>
      <c r="D90" s="9"/>
      <c r="E90" s="9"/>
      <c r="F90" s="10"/>
      <c r="G90" s="9"/>
    </row>
    <row r="91" spans="1:7" x14ac:dyDescent="0.25">
      <c r="A91" s="7"/>
      <c r="B91" s="7"/>
      <c r="C91" s="7"/>
      <c r="D91" s="9"/>
      <c r="E91" s="9"/>
      <c r="F91" s="10"/>
      <c r="G91" s="9"/>
    </row>
    <row r="92" spans="1:7" x14ac:dyDescent="0.25">
      <c r="A92" s="7"/>
      <c r="B92" s="7"/>
      <c r="C92" s="7"/>
      <c r="D92" s="9"/>
      <c r="E92" s="9"/>
      <c r="F92" s="10"/>
      <c r="G92" s="9"/>
    </row>
    <row r="93" spans="1:7" x14ac:dyDescent="0.25">
      <c r="A93" s="7"/>
      <c r="B93" s="7"/>
      <c r="C93" s="7"/>
      <c r="D93" s="9"/>
      <c r="E93" s="9"/>
      <c r="F93" s="10"/>
      <c r="G93" s="9"/>
    </row>
    <row r="94" spans="1:7" x14ac:dyDescent="0.25">
      <c r="A94" s="7"/>
      <c r="B94" s="7"/>
      <c r="C94" s="7"/>
      <c r="D94" s="9"/>
      <c r="E94" s="9"/>
      <c r="F94" s="10"/>
      <c r="G94" s="9"/>
    </row>
    <row r="95" spans="1:7" x14ac:dyDescent="0.25">
      <c r="A95" s="7"/>
      <c r="B95" s="7"/>
      <c r="C95" s="7"/>
      <c r="D95" s="9"/>
      <c r="E95" s="9"/>
      <c r="F95" s="10"/>
      <c r="G95" s="9"/>
    </row>
    <row r="96" spans="1:7" x14ac:dyDescent="0.25">
      <c r="A96" s="7"/>
      <c r="B96" s="7"/>
      <c r="C96" s="7"/>
      <c r="D96" s="9"/>
      <c r="E96" s="9"/>
      <c r="F96" s="10"/>
      <c r="G96" s="9"/>
    </row>
    <row r="97" spans="1:7" x14ac:dyDescent="0.25">
      <c r="A97" s="7"/>
      <c r="B97" s="7"/>
      <c r="C97" s="7"/>
      <c r="D97" s="9"/>
      <c r="E97" s="9"/>
      <c r="F97" s="10"/>
      <c r="G97" s="9"/>
    </row>
    <row r="98" spans="1:7" x14ac:dyDescent="0.25">
      <c r="A98" s="7"/>
      <c r="B98" s="7"/>
      <c r="C98" s="7"/>
      <c r="D98" s="9"/>
      <c r="E98" s="9"/>
      <c r="F98" s="10"/>
      <c r="G98" s="9"/>
    </row>
    <row r="99" spans="1:7" x14ac:dyDescent="0.25">
      <c r="A99" s="7"/>
      <c r="B99" s="7"/>
      <c r="C99" s="7"/>
      <c r="D99" s="9"/>
      <c r="E99" s="9"/>
      <c r="F99" s="10"/>
      <c r="G99" s="9"/>
    </row>
    <row r="100" spans="1:7" x14ac:dyDescent="0.25">
      <c r="A100" s="7"/>
      <c r="B100" s="7"/>
      <c r="C100" s="2"/>
      <c r="D100" s="9"/>
      <c r="E100" s="9"/>
      <c r="F100" s="10"/>
      <c r="G100" s="9"/>
    </row>
    <row r="101" spans="1:7" x14ac:dyDescent="0.25">
      <c r="A101" s="7"/>
      <c r="B101" s="7"/>
      <c r="C101" s="7"/>
      <c r="D101" s="9"/>
      <c r="E101" s="9"/>
      <c r="F101" s="10"/>
      <c r="G101" s="9"/>
    </row>
    <row r="102" spans="1:7" x14ac:dyDescent="0.25">
      <c r="A102" s="7"/>
      <c r="B102" s="7"/>
      <c r="C102" s="7"/>
      <c r="D102" s="9"/>
      <c r="E102" s="9"/>
      <c r="F102" s="10"/>
      <c r="G102" s="9"/>
    </row>
    <row r="103" spans="1:7" x14ac:dyDescent="0.25">
      <c r="A103" s="7"/>
      <c r="B103" s="7"/>
      <c r="C103" s="7"/>
      <c r="D103" s="9"/>
      <c r="E103" s="9"/>
      <c r="F103" s="10"/>
      <c r="G103" s="9"/>
    </row>
    <row r="104" spans="1:7" x14ac:dyDescent="0.25">
      <c r="A104" s="7"/>
      <c r="B104" s="7"/>
      <c r="C104" s="7"/>
      <c r="D104" s="9"/>
      <c r="E104" s="9"/>
      <c r="F104" s="10"/>
      <c r="G104" s="9"/>
    </row>
    <row r="105" spans="1:7" x14ac:dyDescent="0.25">
      <c r="A105" s="7"/>
      <c r="B105" s="7"/>
      <c r="C105" s="7"/>
      <c r="D105" s="9"/>
      <c r="E105" s="9"/>
      <c r="F105" s="10"/>
      <c r="G105" s="9"/>
    </row>
    <row r="106" spans="1:7" x14ac:dyDescent="0.25">
      <c r="A106" s="7"/>
      <c r="B106" s="7"/>
      <c r="C106" s="7"/>
      <c r="D106" s="9"/>
      <c r="E106" s="9"/>
      <c r="F106" s="10"/>
      <c r="G106" s="9"/>
    </row>
    <row r="107" spans="1:7" x14ac:dyDescent="0.25">
      <c r="A107" s="7"/>
      <c r="B107" s="7"/>
      <c r="C107" s="7"/>
      <c r="D107" s="9"/>
      <c r="E107" s="9"/>
      <c r="F107" s="10"/>
      <c r="G107" s="9"/>
    </row>
    <row r="108" spans="1:7" x14ac:dyDescent="0.25">
      <c r="A108" s="7"/>
      <c r="B108" s="7"/>
      <c r="C108" s="7"/>
      <c r="D108" s="9"/>
      <c r="E108" s="9"/>
      <c r="F108" s="10"/>
      <c r="G108" s="9"/>
    </row>
    <row r="109" spans="1:7" x14ac:dyDescent="0.25">
      <c r="A109" s="7"/>
      <c r="B109" s="7"/>
      <c r="C109" s="7"/>
      <c r="D109" s="9"/>
      <c r="E109" s="9"/>
      <c r="F109" s="10"/>
      <c r="G109" s="9"/>
    </row>
    <row r="110" spans="1:7" x14ac:dyDescent="0.25">
      <c r="A110" s="7"/>
      <c r="B110" s="7"/>
      <c r="C110" s="7"/>
      <c r="D110" s="9"/>
      <c r="E110" s="9"/>
      <c r="F110" s="10"/>
      <c r="G110" s="9"/>
    </row>
    <row r="111" spans="1:7" x14ac:dyDescent="0.25">
      <c r="A111" s="7"/>
      <c r="B111" s="7"/>
      <c r="C111" s="7"/>
      <c r="D111" s="36"/>
      <c r="E111" s="36"/>
      <c r="F111" s="37"/>
      <c r="G111" s="36"/>
    </row>
    <row r="112" spans="1:7" x14ac:dyDescent="0.25">
      <c r="A112" s="7"/>
      <c r="B112" s="7"/>
      <c r="C112" s="7"/>
      <c r="D112" s="36"/>
      <c r="E112" s="36"/>
      <c r="F112" s="37"/>
      <c r="G112" s="36"/>
    </row>
    <row r="113" spans="1:7" x14ac:dyDescent="0.25">
      <c r="A113" s="7"/>
      <c r="B113" s="7"/>
      <c r="C113" s="7"/>
      <c r="D113" s="36"/>
      <c r="E113" s="36"/>
      <c r="F113" s="37"/>
      <c r="G113" s="36"/>
    </row>
    <row r="114" spans="1:7" x14ac:dyDescent="0.25">
      <c r="A114" s="7"/>
      <c r="B114" s="7"/>
      <c r="C114" s="7"/>
      <c r="D114" s="36"/>
      <c r="E114" s="36"/>
      <c r="F114" s="37"/>
      <c r="G114" s="36"/>
    </row>
    <row r="115" spans="1:7" x14ac:dyDescent="0.25">
      <c r="A115" s="7"/>
      <c r="B115" s="7"/>
      <c r="C115" s="7"/>
      <c r="D115" s="36"/>
      <c r="E115" s="36"/>
      <c r="F115" s="37"/>
      <c r="G115" s="36"/>
    </row>
    <row r="116" spans="1:7" x14ac:dyDescent="0.25">
      <c r="A116" s="7"/>
      <c r="B116" s="7"/>
      <c r="C116" s="7"/>
      <c r="D116" s="36"/>
      <c r="E116" s="36"/>
      <c r="F116" s="37"/>
      <c r="G116" s="36"/>
    </row>
    <row r="117" spans="1:7" x14ac:dyDescent="0.25">
      <c r="A117" s="7"/>
      <c r="B117" s="7"/>
      <c r="C117" s="7"/>
      <c r="D117" s="36"/>
      <c r="E117" s="36"/>
      <c r="F117" s="37"/>
      <c r="G117" s="36"/>
    </row>
    <row r="118" spans="1:7" x14ac:dyDescent="0.25">
      <c r="A118" s="7"/>
      <c r="B118" s="7"/>
      <c r="C118" s="7"/>
      <c r="D118" s="36"/>
      <c r="E118" s="36"/>
      <c r="F118" s="37"/>
      <c r="G118" s="36"/>
    </row>
    <row r="119" spans="1:7" x14ac:dyDescent="0.25">
      <c r="A119" s="7"/>
      <c r="B119" s="7"/>
      <c r="C119" s="7"/>
      <c r="D119" s="36"/>
      <c r="E119" s="36"/>
      <c r="F119" s="37"/>
      <c r="G119" s="36"/>
    </row>
    <row r="120" spans="1:7" x14ac:dyDescent="0.25">
      <c r="A120" s="7"/>
      <c r="B120" s="7"/>
      <c r="C120" s="7"/>
      <c r="D120" s="36"/>
      <c r="E120" s="36"/>
      <c r="F120" s="37"/>
      <c r="G120" s="36"/>
    </row>
    <row r="121" spans="1:7" x14ac:dyDescent="0.25">
      <c r="A121" s="7"/>
      <c r="B121" s="7"/>
      <c r="C121" s="7"/>
      <c r="D121" s="36"/>
      <c r="E121" s="36"/>
      <c r="F121" s="37"/>
      <c r="G121" s="36"/>
    </row>
    <row r="122" spans="1:7" x14ac:dyDescent="0.25">
      <c r="A122" s="7"/>
      <c r="B122" s="7"/>
      <c r="C122" s="7"/>
      <c r="D122" s="36"/>
      <c r="E122" s="36"/>
      <c r="F122" s="37"/>
      <c r="G122" s="36"/>
    </row>
    <row r="123" spans="1:7" x14ac:dyDescent="0.25">
      <c r="A123" s="7"/>
      <c r="B123" s="7"/>
      <c r="C123" s="7"/>
      <c r="D123" s="36"/>
      <c r="E123" s="36"/>
      <c r="F123" s="37"/>
      <c r="G123" s="36"/>
    </row>
    <row r="124" spans="1:7" x14ac:dyDescent="0.25">
      <c r="A124" s="7"/>
      <c r="B124" s="7"/>
      <c r="C124" s="7"/>
      <c r="D124" s="36"/>
      <c r="E124" s="36"/>
      <c r="F124" s="37"/>
      <c r="G124" s="36"/>
    </row>
    <row r="125" spans="1:7" x14ac:dyDescent="0.25">
      <c r="A125" s="7"/>
      <c r="B125" s="7"/>
      <c r="C125" s="7"/>
      <c r="D125" s="36"/>
      <c r="E125" s="36"/>
      <c r="F125" s="37"/>
      <c r="G125" s="36"/>
    </row>
    <row r="126" spans="1:7" x14ac:dyDescent="0.25">
      <c r="A126" s="7"/>
      <c r="B126" s="7"/>
      <c r="C126" s="7"/>
      <c r="D126" s="36"/>
      <c r="E126" s="36"/>
      <c r="F126" s="37"/>
      <c r="G126" s="36"/>
    </row>
    <row r="127" spans="1:7" x14ac:dyDescent="0.25">
      <c r="A127" s="7"/>
      <c r="B127" s="7"/>
      <c r="C127" s="7"/>
      <c r="D127" s="36"/>
      <c r="E127" s="36"/>
      <c r="F127" s="37"/>
      <c r="G127" s="36"/>
    </row>
    <row r="128" spans="1:7" x14ac:dyDescent="0.25">
      <c r="A128" s="7"/>
      <c r="B128" s="7"/>
      <c r="C128" s="7"/>
      <c r="D128" s="36"/>
      <c r="E128" s="36"/>
      <c r="F128" s="37"/>
      <c r="G128" s="36"/>
    </row>
    <row r="129" spans="1:7" x14ac:dyDescent="0.25">
      <c r="A129" s="7"/>
      <c r="B129" s="7"/>
      <c r="C129" s="7"/>
      <c r="D129" s="36"/>
      <c r="E129" s="36"/>
      <c r="F129" s="37"/>
      <c r="G129" s="36"/>
    </row>
    <row r="130" spans="1:7" x14ac:dyDescent="0.25">
      <c r="A130" s="7"/>
      <c r="B130" s="7"/>
      <c r="C130" s="7"/>
      <c r="D130" s="36"/>
      <c r="E130" s="36"/>
      <c r="F130" s="37"/>
      <c r="G130" s="36"/>
    </row>
    <row r="131" spans="1:7" x14ac:dyDescent="0.25">
      <c r="A131" s="7"/>
      <c r="B131" s="7"/>
      <c r="C131" s="7"/>
      <c r="D131" s="36"/>
      <c r="E131" s="36"/>
      <c r="F131" s="37"/>
      <c r="G131" s="36"/>
    </row>
    <row r="132" spans="1:7" x14ac:dyDescent="0.25">
      <c r="A132" s="7"/>
      <c r="B132" s="7"/>
      <c r="C132" s="7"/>
      <c r="D132" s="36"/>
      <c r="E132" s="36"/>
      <c r="F132" s="37"/>
      <c r="G132" s="36"/>
    </row>
    <row r="133" spans="1:7" x14ac:dyDescent="0.25">
      <c r="A133" s="7"/>
      <c r="B133" s="7"/>
      <c r="C133" s="7"/>
      <c r="D133" s="36"/>
      <c r="E133" s="36"/>
      <c r="F133" s="37"/>
      <c r="G133" s="36"/>
    </row>
    <row r="134" spans="1:7" x14ac:dyDescent="0.25">
      <c r="A134" s="7"/>
      <c r="B134" s="7"/>
      <c r="C134" s="7"/>
      <c r="D134" s="36"/>
      <c r="E134" s="36"/>
      <c r="F134" s="37"/>
      <c r="G134" s="36"/>
    </row>
    <row r="135" spans="1:7" x14ac:dyDescent="0.25">
      <c r="A135" s="7"/>
      <c r="B135" s="7"/>
      <c r="C135" s="7"/>
      <c r="D135" s="36"/>
      <c r="E135" s="36"/>
      <c r="F135" s="37"/>
      <c r="G135" s="36"/>
    </row>
    <row r="136" spans="1:7" x14ac:dyDescent="0.25">
      <c r="A136" s="7"/>
      <c r="B136" s="7"/>
      <c r="C136" s="7"/>
      <c r="D136" s="36"/>
      <c r="E136" s="36"/>
      <c r="F136" s="37"/>
      <c r="G136" s="36"/>
    </row>
    <row r="137" spans="1:7" x14ac:dyDescent="0.25">
      <c r="A137" s="7"/>
      <c r="B137" s="7"/>
      <c r="C137" s="7"/>
      <c r="D137" s="36"/>
      <c r="E137" s="36"/>
      <c r="F137" s="37"/>
      <c r="G137" s="36"/>
    </row>
    <row r="138" spans="1:7" x14ac:dyDescent="0.25">
      <c r="A138" s="7"/>
      <c r="B138" s="7"/>
      <c r="C138" s="7"/>
      <c r="D138" s="36"/>
      <c r="E138" s="36"/>
      <c r="F138" s="37"/>
      <c r="G138" s="36"/>
    </row>
    <row r="139" spans="1:7" x14ac:dyDescent="0.25">
      <c r="A139" s="7"/>
      <c r="B139" s="7"/>
      <c r="C139" s="7"/>
      <c r="D139" s="36"/>
      <c r="E139" s="36"/>
      <c r="F139" s="37"/>
      <c r="G139" s="36"/>
    </row>
    <row r="140" spans="1:7" x14ac:dyDescent="0.25">
      <c r="A140" s="7"/>
      <c r="B140" s="7"/>
      <c r="C140" s="7"/>
      <c r="D140" s="36"/>
      <c r="E140" s="36"/>
      <c r="F140" s="37"/>
      <c r="G140" s="36"/>
    </row>
    <row r="141" spans="1:7" x14ac:dyDescent="0.25">
      <c r="A141" s="7"/>
      <c r="B141" s="7"/>
      <c r="C141" s="7"/>
      <c r="D141" s="36"/>
      <c r="E141" s="36"/>
      <c r="F141" s="37"/>
      <c r="G141" s="36"/>
    </row>
    <row r="142" spans="1:7" x14ac:dyDescent="0.25">
      <c r="A142" s="7"/>
      <c r="B142" s="7"/>
      <c r="C142" s="7"/>
      <c r="D142" s="36"/>
      <c r="E142" s="36"/>
      <c r="F142" s="37"/>
      <c r="G142" s="36"/>
    </row>
    <row r="143" spans="1:7" x14ac:dyDescent="0.25">
      <c r="A143" s="7"/>
      <c r="B143" s="7"/>
      <c r="C143" s="7"/>
      <c r="D143" s="36"/>
      <c r="E143" s="36"/>
      <c r="F143" s="37"/>
      <c r="G143" s="36"/>
    </row>
    <row r="144" spans="1:7" x14ac:dyDescent="0.25">
      <c r="A144" s="7"/>
      <c r="B144" s="7"/>
      <c r="C144" s="7"/>
      <c r="D144" s="36"/>
      <c r="E144" s="36"/>
      <c r="F144" s="37"/>
      <c r="G144" s="36"/>
    </row>
    <row r="145" spans="1:7" x14ac:dyDescent="0.25">
      <c r="A145" s="7"/>
      <c r="B145" s="7"/>
      <c r="C145" s="7"/>
      <c r="D145" s="36"/>
      <c r="E145" s="36"/>
      <c r="F145" s="37"/>
      <c r="G145" s="36"/>
    </row>
    <row r="146" spans="1:7" x14ac:dyDescent="0.25">
      <c r="A146" s="7"/>
      <c r="B146" s="7"/>
      <c r="C146" s="7"/>
      <c r="D146" s="36"/>
      <c r="E146" s="36"/>
      <c r="F146" s="37"/>
      <c r="G146" s="36"/>
    </row>
    <row r="147" spans="1:7" x14ac:dyDescent="0.25">
      <c r="A147" s="7"/>
      <c r="B147" s="7"/>
      <c r="C147" s="7"/>
      <c r="D147" s="36"/>
      <c r="E147" s="36"/>
      <c r="F147" s="37"/>
      <c r="G147" s="36"/>
    </row>
    <row r="148" spans="1:7" x14ac:dyDescent="0.25">
      <c r="A148" s="7"/>
      <c r="B148" s="7"/>
      <c r="C148" s="7"/>
      <c r="D148" s="36"/>
      <c r="E148" s="36"/>
      <c r="F148" s="37"/>
      <c r="G148" s="36"/>
    </row>
    <row r="149" spans="1:7" x14ac:dyDescent="0.25">
      <c r="A149" s="7"/>
      <c r="B149" s="7"/>
      <c r="C149" s="7"/>
      <c r="D149" s="36"/>
      <c r="E149" s="36"/>
      <c r="F149" s="37"/>
      <c r="G149" s="36"/>
    </row>
    <row r="150" spans="1:7" x14ac:dyDescent="0.25">
      <c r="A150" s="7"/>
      <c r="B150" s="7"/>
      <c r="C150" s="7"/>
      <c r="D150" s="36"/>
      <c r="E150" s="36"/>
      <c r="F150" s="37"/>
      <c r="G150" s="36"/>
    </row>
    <row r="151" spans="1:7" x14ac:dyDescent="0.25">
      <c r="A151" s="7"/>
      <c r="B151" s="7"/>
      <c r="C151" s="7"/>
      <c r="D151" s="36"/>
      <c r="E151" s="36"/>
      <c r="F151" s="37"/>
      <c r="G151" s="36"/>
    </row>
    <row r="152" spans="1:7" x14ac:dyDescent="0.25">
      <c r="A152" s="7"/>
      <c r="B152" s="7"/>
      <c r="C152" s="7"/>
      <c r="D152" s="36"/>
      <c r="E152" s="36"/>
      <c r="F152" s="37"/>
      <c r="G152" s="36"/>
    </row>
    <row r="153" spans="1:7" x14ac:dyDescent="0.25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5" x14ac:dyDescent="0.25"/>
  <cols>
    <col min="1" max="2" width="7.28515625"/>
    <col min="3" max="3" width="49.85546875"/>
    <col min="4" max="4" width="14.5703125"/>
    <col min="5" max="5" width="9"/>
    <col min="6" max="6" width="12.7109375"/>
    <col min="7" max="1025" width="7.28515625"/>
  </cols>
  <sheetData>
    <row r="1" spans="1:16" x14ac:dyDescent="0.25">
      <c r="A1" s="136" t="s">
        <v>36</v>
      </c>
      <c r="B1" s="136"/>
      <c r="C1" s="136"/>
      <c r="D1" s="136"/>
      <c r="E1" s="136"/>
      <c r="F1" s="136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5">
      <c r="A2" s="137" t="s">
        <v>37</v>
      </c>
      <c r="B2" s="137"/>
      <c r="C2" s="11" t="s">
        <v>38</v>
      </c>
      <c r="D2" s="134" t="s">
        <v>39</v>
      </c>
      <c r="E2" s="134"/>
      <c r="F2" s="134"/>
      <c r="G2" s="5"/>
      <c r="H2" s="5"/>
      <c r="I2" s="5"/>
      <c r="J2" s="5"/>
      <c r="K2" s="5"/>
      <c r="L2" s="5"/>
      <c r="M2" s="5"/>
      <c r="N2" s="5"/>
      <c r="O2" s="5"/>
    </row>
    <row r="3" spans="1:16" x14ac:dyDescent="0.25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25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25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25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25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25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25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25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25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25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25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25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25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25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25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25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25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25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5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25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5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5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25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25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11">
        <v>28</v>
      </c>
      <c r="B31" s="11"/>
      <c r="C31" s="11"/>
      <c r="D31" s="138" t="s">
        <v>43</v>
      </c>
      <c r="E31" s="138"/>
      <c r="F31" s="138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11">
        <v>29</v>
      </c>
      <c r="B32" s="11"/>
      <c r="C32" s="11"/>
      <c r="D32" s="138"/>
      <c r="E32" s="138"/>
      <c r="F32" s="138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11">
        <v>30</v>
      </c>
      <c r="B33" s="11"/>
      <c r="C33" s="11"/>
      <c r="D33" s="138"/>
      <c r="E33" s="138"/>
      <c r="F33" s="138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5" customHeight="1" x14ac:dyDescent="0.25">
      <c r="A35" s="139" t="s">
        <v>45</v>
      </c>
      <c r="B35" s="139"/>
      <c r="C35" s="139"/>
      <c r="D35" s="11" t="s">
        <v>46</v>
      </c>
      <c r="E35" s="11"/>
      <c r="F35" s="11"/>
    </row>
    <row r="36" spans="1:15" x14ac:dyDescent="0.25">
      <c r="A36" s="139"/>
      <c r="B36" s="139"/>
      <c r="C36" s="139"/>
      <c r="D36" s="11" t="s">
        <v>47</v>
      </c>
      <c r="E36" s="11"/>
      <c r="F36" s="11"/>
    </row>
    <row r="37" spans="1:15" x14ac:dyDescent="0.25">
      <c r="A37" s="139"/>
      <c r="B37" s="139"/>
      <c r="C37" s="139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5" x14ac:dyDescent="0.25"/>
  <cols>
    <col min="1" max="1" width="20.85546875"/>
    <col min="2" max="2" width="23.7109375"/>
    <col min="3" max="3" width="28.28515625"/>
    <col min="4" max="4" width="31.28515625"/>
    <col min="5" max="5" width="17.7109375"/>
    <col min="6" max="6" width="30.7109375"/>
    <col min="7" max="1025" width="8.7109375"/>
  </cols>
  <sheetData>
    <row r="1" spans="1:6" ht="18.75" x14ac:dyDescent="0.3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25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25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25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25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25">
      <c r="A6" s="11" t="s">
        <v>71</v>
      </c>
      <c r="B6" s="11"/>
      <c r="C6" s="11" t="s">
        <v>72</v>
      </c>
      <c r="D6" s="11"/>
      <c r="E6" s="11"/>
      <c r="F6" s="11"/>
    </row>
    <row r="7" spans="1:6" x14ac:dyDescent="0.25">
      <c r="A7" s="11" t="s">
        <v>73</v>
      </c>
      <c r="B7" s="11"/>
      <c r="C7" s="11" t="s">
        <v>74</v>
      </c>
      <c r="D7" s="11"/>
      <c r="E7" s="11"/>
      <c r="F7" s="11"/>
    </row>
    <row r="8" spans="1:6" x14ac:dyDescent="0.25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25">
      <c r="A9" s="11" t="s">
        <v>80</v>
      </c>
      <c r="B9" s="11"/>
      <c r="C9" s="11" t="s">
        <v>81</v>
      </c>
      <c r="D9" s="11"/>
      <c r="E9" s="11"/>
      <c r="F9" s="11"/>
    </row>
    <row r="10" spans="1:6" x14ac:dyDescent="0.25">
      <c r="A10" s="11" t="s">
        <v>82</v>
      </c>
      <c r="B10" s="11" t="s">
        <v>83</v>
      </c>
      <c r="C10" s="134" t="s">
        <v>84</v>
      </c>
      <c r="D10" s="11"/>
      <c r="E10" s="11"/>
      <c r="F10" s="11"/>
    </row>
    <row r="11" spans="1:6" x14ac:dyDescent="0.25">
      <c r="A11" s="11"/>
      <c r="B11" s="11" t="s">
        <v>85</v>
      </c>
      <c r="C11" s="134"/>
      <c r="D11" s="11"/>
      <c r="E11" s="11"/>
      <c r="F11" s="11"/>
    </row>
    <row r="12" spans="1:6" x14ac:dyDescent="0.25">
      <c r="A12" s="11"/>
      <c r="B12" s="11" t="s">
        <v>86</v>
      </c>
      <c r="C12" s="134"/>
      <c r="D12" s="11"/>
      <c r="E12" s="11"/>
      <c r="F12" s="11"/>
    </row>
    <row r="13" spans="1:6" x14ac:dyDescent="0.25">
      <c r="A13" s="11"/>
      <c r="B13" s="11" t="s">
        <v>87</v>
      </c>
      <c r="C13" s="134"/>
      <c r="D13" s="11"/>
      <c r="E13" s="11"/>
      <c r="F13" s="11"/>
    </row>
    <row r="14" spans="1:6" x14ac:dyDescent="0.25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25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25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25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25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25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25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25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25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25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25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25">
      <c r="A25" s="11" t="s">
        <v>124</v>
      </c>
      <c r="B25" s="11"/>
      <c r="C25" s="11"/>
      <c r="D25" s="5"/>
      <c r="E25" s="5"/>
      <c r="F25" s="5"/>
    </row>
    <row r="26" spans="1:6" x14ac:dyDescent="0.25">
      <c r="A26" s="11"/>
      <c r="B26" s="11"/>
      <c r="C26" s="11" t="s">
        <v>125</v>
      </c>
      <c r="D26" s="5"/>
      <c r="E26" s="5"/>
      <c r="F26" s="5"/>
    </row>
    <row r="27" spans="1:6" x14ac:dyDescent="0.25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25">
      <c r="A28" s="11"/>
      <c r="B28" s="11"/>
      <c r="C28" s="11"/>
      <c r="D28" s="5"/>
      <c r="E28" s="5"/>
      <c r="F28" s="5"/>
    </row>
    <row r="29" spans="1:6" x14ac:dyDescent="0.25">
      <c r="A29" s="11"/>
      <c r="B29" s="11"/>
      <c r="C29" s="11"/>
      <c r="D29" s="5"/>
      <c r="E29" s="5"/>
      <c r="F29" s="5"/>
    </row>
    <row r="30" spans="1:6" x14ac:dyDescent="0.25">
      <c r="A30" s="11"/>
      <c r="B30" s="11"/>
      <c r="C30" s="11"/>
      <c r="D30" s="5"/>
      <c r="E30" s="5"/>
      <c r="F30" s="5"/>
    </row>
    <row r="31" spans="1:6" x14ac:dyDescent="0.25">
      <c r="A31" s="11"/>
      <c r="B31" s="11"/>
      <c r="C31" s="11"/>
      <c r="D31" s="5"/>
      <c r="E31" s="5"/>
      <c r="F31" s="5"/>
    </row>
    <row r="32" spans="1:6" x14ac:dyDescent="0.25">
      <c r="A32" s="11"/>
      <c r="B32" s="11"/>
      <c r="C32" s="11"/>
      <c r="D32" s="5"/>
      <c r="E32" s="5"/>
      <c r="F32" s="5"/>
    </row>
    <row r="33" spans="1:6" x14ac:dyDescent="0.25">
      <c r="A33" s="11"/>
      <c r="B33" s="11"/>
      <c r="C33" s="11"/>
      <c r="D33" s="5"/>
      <c r="E33" s="5"/>
      <c r="F33" s="5"/>
    </row>
    <row r="34" spans="1:6" x14ac:dyDescent="0.25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5" x14ac:dyDescent="0.25"/>
  <cols>
    <col min="1" max="7" width="9.42578125"/>
    <col min="8" max="8" width="17.7109375"/>
    <col min="9" max="1025" width="8.7109375"/>
  </cols>
  <sheetData>
    <row r="1" spans="1:8" x14ac:dyDescent="0.25">
      <c r="A1" s="134" t="s">
        <v>132</v>
      </c>
      <c r="B1" s="134"/>
      <c r="C1" s="134"/>
      <c r="D1" s="134"/>
      <c r="E1" s="134"/>
      <c r="F1" s="134"/>
      <c r="G1" s="134"/>
      <c r="H1" s="134"/>
    </row>
    <row r="2" spans="1:8" x14ac:dyDescent="0.25">
      <c r="A2" s="134" t="s">
        <v>133</v>
      </c>
      <c r="B2" s="134"/>
      <c r="C2" s="134"/>
      <c r="D2" s="134"/>
      <c r="E2" s="134"/>
      <c r="F2" s="134" t="s">
        <v>134</v>
      </c>
      <c r="G2" s="134"/>
      <c r="H2" s="2" t="s">
        <v>135</v>
      </c>
    </row>
    <row r="3" spans="1:8" x14ac:dyDescent="0.25">
      <c r="A3" s="140" t="s">
        <v>136</v>
      </c>
      <c r="B3" s="140"/>
      <c r="C3" s="140"/>
      <c r="D3" s="140"/>
      <c r="E3" s="140"/>
      <c r="F3" s="141"/>
      <c r="G3" s="141"/>
      <c r="H3" s="7" t="s">
        <v>137</v>
      </c>
    </row>
    <row r="4" spans="1:8" x14ac:dyDescent="0.25">
      <c r="A4" s="140" t="s">
        <v>138</v>
      </c>
      <c r="B4" s="140"/>
      <c r="C4" s="140"/>
      <c r="D4" s="140"/>
      <c r="E4" s="140"/>
      <c r="F4" s="140" t="s">
        <v>139</v>
      </c>
      <c r="G4" s="140"/>
      <c r="H4" s="7" t="s">
        <v>140</v>
      </c>
    </row>
    <row r="5" spans="1:8" x14ac:dyDescent="0.25">
      <c r="A5" s="140" t="s">
        <v>141</v>
      </c>
      <c r="B5" s="140"/>
      <c r="C5" s="140"/>
      <c r="D5" s="140"/>
      <c r="E5" s="140"/>
      <c r="F5" s="140" t="s">
        <v>142</v>
      </c>
      <c r="G5" s="140"/>
      <c r="H5" s="7" t="s">
        <v>143</v>
      </c>
    </row>
    <row r="6" spans="1:8" x14ac:dyDescent="0.25">
      <c r="A6" s="140" t="s">
        <v>144</v>
      </c>
      <c r="B6" s="140"/>
      <c r="C6" s="140"/>
      <c r="D6" s="140"/>
      <c r="E6" s="140"/>
      <c r="F6" s="140" t="s">
        <v>145</v>
      </c>
      <c r="G6" s="140"/>
      <c r="H6" s="7" t="s">
        <v>146</v>
      </c>
    </row>
    <row r="7" spans="1:8" x14ac:dyDescent="0.25">
      <c r="A7" s="140" t="s">
        <v>147</v>
      </c>
      <c r="B7" s="140"/>
      <c r="C7" s="140"/>
      <c r="D7" s="140"/>
      <c r="E7" s="140"/>
      <c r="F7" s="140" t="s">
        <v>148</v>
      </c>
      <c r="G7" s="140"/>
      <c r="H7" s="7" t="s">
        <v>149</v>
      </c>
    </row>
    <row r="8" spans="1:8" x14ac:dyDescent="0.25">
      <c r="A8" s="140" t="s">
        <v>150</v>
      </c>
      <c r="B8" s="140"/>
      <c r="C8" s="140"/>
      <c r="D8" s="140"/>
      <c r="E8" s="140"/>
      <c r="F8" s="140" t="s">
        <v>151</v>
      </c>
      <c r="G8" s="140"/>
      <c r="H8" s="7" t="s">
        <v>152</v>
      </c>
    </row>
    <row r="9" spans="1:8" x14ac:dyDescent="0.25">
      <c r="A9" s="140" t="s">
        <v>153</v>
      </c>
      <c r="B9" s="140"/>
      <c r="C9" s="140"/>
      <c r="D9" s="140"/>
      <c r="E9" s="140"/>
      <c r="F9" s="140" t="s">
        <v>154</v>
      </c>
      <c r="G9" s="140"/>
      <c r="H9" s="7" t="s">
        <v>155</v>
      </c>
    </row>
    <row r="10" spans="1:8" x14ac:dyDescent="0.25">
      <c r="A10" s="140" t="s">
        <v>156</v>
      </c>
      <c r="B10" s="140"/>
      <c r="C10" s="140"/>
      <c r="D10" s="140"/>
      <c r="E10" s="140"/>
      <c r="F10" s="140" t="s">
        <v>157</v>
      </c>
      <c r="G10" s="140"/>
      <c r="H10" s="7" t="s">
        <v>158</v>
      </c>
    </row>
    <row r="11" spans="1:8" x14ac:dyDescent="0.25">
      <c r="A11" s="140" t="s">
        <v>159</v>
      </c>
      <c r="B11" s="140"/>
      <c r="C11" s="140"/>
      <c r="D11" s="140"/>
      <c r="E11" s="140"/>
      <c r="F11" s="140" t="s">
        <v>160</v>
      </c>
      <c r="G11" s="140"/>
      <c r="H11" s="7" t="s">
        <v>161</v>
      </c>
    </row>
    <row r="12" spans="1:8" x14ac:dyDescent="0.25">
      <c r="A12" s="140" t="s">
        <v>162</v>
      </c>
      <c r="B12" s="140"/>
      <c r="C12" s="140"/>
      <c r="D12" s="140"/>
      <c r="E12" s="140"/>
      <c r="F12" s="140" t="s">
        <v>163</v>
      </c>
      <c r="G12" s="140"/>
      <c r="H12" s="7" t="s">
        <v>164</v>
      </c>
    </row>
    <row r="13" spans="1:8" x14ac:dyDescent="0.25">
      <c r="A13" s="140" t="s">
        <v>165</v>
      </c>
      <c r="B13" s="140"/>
      <c r="C13" s="140"/>
      <c r="D13" s="140"/>
      <c r="E13" s="140"/>
      <c r="F13" s="140" t="s">
        <v>166</v>
      </c>
      <c r="G13" s="140"/>
      <c r="H13" s="7" t="s">
        <v>167</v>
      </c>
    </row>
    <row r="14" spans="1:8" x14ac:dyDescent="0.25">
      <c r="A14" s="140" t="s">
        <v>168</v>
      </c>
      <c r="B14" s="140"/>
      <c r="C14" s="140"/>
      <c r="D14" s="140"/>
      <c r="E14" s="140"/>
      <c r="F14" s="140" t="s">
        <v>169</v>
      </c>
      <c r="G14" s="140"/>
      <c r="H14" s="7" t="s">
        <v>170</v>
      </c>
    </row>
    <row r="15" spans="1:8" x14ac:dyDescent="0.25">
      <c r="A15" s="140" t="s">
        <v>171</v>
      </c>
      <c r="B15" s="140"/>
      <c r="C15" s="140"/>
      <c r="D15" s="140"/>
      <c r="E15" s="140"/>
      <c r="F15" s="140" t="s">
        <v>172</v>
      </c>
      <c r="G15" s="140"/>
      <c r="H15" s="7" t="s">
        <v>173</v>
      </c>
    </row>
    <row r="16" spans="1:8" x14ac:dyDescent="0.25">
      <c r="A16" s="140" t="s">
        <v>174</v>
      </c>
      <c r="B16" s="140"/>
      <c r="C16" s="140"/>
      <c r="D16" s="140"/>
      <c r="E16" s="140"/>
      <c r="F16" s="140" t="s">
        <v>175</v>
      </c>
      <c r="G16" s="140"/>
      <c r="H16" s="7" t="s">
        <v>176</v>
      </c>
    </row>
    <row r="17" spans="1:8" x14ac:dyDescent="0.25">
      <c r="A17" s="140" t="s">
        <v>177</v>
      </c>
      <c r="B17" s="140"/>
      <c r="C17" s="140"/>
      <c r="D17" s="140"/>
      <c r="E17" s="140"/>
      <c r="F17" s="140" t="s">
        <v>178</v>
      </c>
      <c r="G17" s="140"/>
      <c r="H17" s="7" t="s">
        <v>179</v>
      </c>
    </row>
    <row r="18" spans="1:8" x14ac:dyDescent="0.25">
      <c r="A18" s="140" t="s">
        <v>180</v>
      </c>
      <c r="B18" s="140"/>
      <c r="C18" s="140"/>
      <c r="D18" s="140"/>
      <c r="E18" s="140"/>
      <c r="F18" s="140" t="s">
        <v>181</v>
      </c>
      <c r="G18" s="140"/>
      <c r="H18" s="7" t="s">
        <v>182</v>
      </c>
    </row>
    <row r="19" spans="1:8" x14ac:dyDescent="0.25">
      <c r="A19" s="140" t="s">
        <v>183</v>
      </c>
      <c r="B19" s="140"/>
      <c r="C19" s="140"/>
      <c r="D19" s="140"/>
      <c r="E19" s="140"/>
      <c r="F19" s="140" t="s">
        <v>184</v>
      </c>
      <c r="G19" s="140"/>
      <c r="H19" s="7" t="s">
        <v>185</v>
      </c>
    </row>
    <row r="20" spans="1:8" x14ac:dyDescent="0.25">
      <c r="A20" s="140" t="s">
        <v>186</v>
      </c>
      <c r="B20" s="140"/>
      <c r="C20" s="140"/>
      <c r="D20" s="140"/>
      <c r="E20" s="140"/>
      <c r="F20" s="140" t="s">
        <v>187</v>
      </c>
      <c r="G20" s="140"/>
      <c r="H20" s="7" t="s">
        <v>188</v>
      </c>
    </row>
    <row r="21" spans="1:8" x14ac:dyDescent="0.25">
      <c r="A21" s="140" t="s">
        <v>189</v>
      </c>
      <c r="B21" s="140"/>
      <c r="C21" s="140"/>
      <c r="D21" s="140"/>
      <c r="E21" s="140"/>
      <c r="F21" s="140" t="s">
        <v>190</v>
      </c>
      <c r="G21" s="140"/>
      <c r="H21" s="7" t="s">
        <v>191</v>
      </c>
    </row>
    <row r="22" spans="1:8" x14ac:dyDescent="0.25">
      <c r="A22" s="140" t="s">
        <v>192</v>
      </c>
      <c r="B22" s="140"/>
      <c r="C22" s="140"/>
      <c r="D22" s="140"/>
      <c r="E22" s="140"/>
      <c r="F22" s="140" t="s">
        <v>193</v>
      </c>
      <c r="G22" s="140"/>
      <c r="H22" s="7" t="s">
        <v>194</v>
      </c>
    </row>
    <row r="23" spans="1:8" x14ac:dyDescent="0.25">
      <c r="A23" s="140" t="s">
        <v>195</v>
      </c>
      <c r="B23" s="140"/>
      <c r="C23" s="140"/>
      <c r="D23" s="140"/>
      <c r="E23" s="140"/>
      <c r="F23" s="140" t="s">
        <v>196</v>
      </c>
      <c r="G23" s="140"/>
      <c r="H23" s="7" t="s">
        <v>197</v>
      </c>
    </row>
    <row r="24" spans="1:8" x14ac:dyDescent="0.25">
      <c r="A24" s="140" t="s">
        <v>198</v>
      </c>
      <c r="B24" s="140"/>
      <c r="C24" s="140"/>
      <c r="D24" s="140"/>
      <c r="E24" s="140"/>
      <c r="F24" s="140" t="s">
        <v>199</v>
      </c>
      <c r="G24" s="140"/>
      <c r="H24" s="7" t="s">
        <v>200</v>
      </c>
    </row>
    <row r="25" spans="1:8" x14ac:dyDescent="0.25">
      <c r="A25" s="140" t="s">
        <v>201</v>
      </c>
      <c r="B25" s="140"/>
      <c r="C25" s="140"/>
      <c r="D25" s="140"/>
      <c r="E25" s="140"/>
      <c r="F25" s="140" t="s">
        <v>202</v>
      </c>
      <c r="G25" s="140"/>
      <c r="H25" s="7" t="s">
        <v>203</v>
      </c>
    </row>
    <row r="26" spans="1:8" x14ac:dyDescent="0.25">
      <c r="A26" s="140" t="s">
        <v>204</v>
      </c>
      <c r="B26" s="140"/>
      <c r="C26" s="140"/>
      <c r="D26" s="140"/>
      <c r="E26" s="140"/>
      <c r="F26" s="140" t="s">
        <v>205</v>
      </c>
      <c r="G26" s="140"/>
      <c r="H26" s="7" t="s">
        <v>206</v>
      </c>
    </row>
    <row r="27" spans="1:8" x14ac:dyDescent="0.25">
      <c r="A27" s="140" t="s">
        <v>207</v>
      </c>
      <c r="B27" s="140"/>
      <c r="C27" s="140"/>
      <c r="D27" s="140"/>
      <c r="E27" s="140"/>
      <c r="F27" s="140" t="s">
        <v>208</v>
      </c>
      <c r="G27" s="140"/>
      <c r="H27" s="7" t="s">
        <v>209</v>
      </c>
    </row>
    <row r="28" spans="1:8" x14ac:dyDescent="0.25">
      <c r="A28" s="140" t="s">
        <v>210</v>
      </c>
      <c r="B28" s="140"/>
      <c r="C28" s="140"/>
      <c r="D28" s="140"/>
      <c r="E28" s="140"/>
      <c r="F28" s="140" t="s">
        <v>211</v>
      </c>
      <c r="G28" s="140"/>
      <c r="H28" s="7" t="s">
        <v>212</v>
      </c>
    </row>
    <row r="29" spans="1:8" x14ac:dyDescent="0.25">
      <c r="A29" s="140" t="s">
        <v>213</v>
      </c>
      <c r="B29" s="140"/>
      <c r="C29" s="140"/>
      <c r="D29" s="140"/>
      <c r="E29" s="140"/>
      <c r="F29" s="140" t="s">
        <v>214</v>
      </c>
      <c r="G29" s="140"/>
      <c r="H29" s="7"/>
    </row>
    <row r="30" spans="1:8" x14ac:dyDescent="0.25">
      <c r="A30" s="140" t="s">
        <v>215</v>
      </c>
      <c r="B30" s="140"/>
      <c r="C30" s="140"/>
      <c r="D30" s="140"/>
      <c r="E30" s="140"/>
      <c r="F30" s="140" t="s">
        <v>216</v>
      </c>
      <c r="G30" s="140"/>
      <c r="H30" s="7"/>
    </row>
    <row r="31" spans="1:8" x14ac:dyDescent="0.25">
      <c r="A31" s="140" t="s">
        <v>217</v>
      </c>
      <c r="B31" s="140"/>
      <c r="C31" s="140"/>
      <c r="D31" s="140"/>
      <c r="E31" s="140"/>
      <c r="F31" s="140" t="s">
        <v>218</v>
      </c>
      <c r="G31" s="140"/>
      <c r="H31" s="7"/>
    </row>
    <row r="32" spans="1:8" x14ac:dyDescent="0.25">
      <c r="A32" s="140" t="s">
        <v>219</v>
      </c>
      <c r="B32" s="140"/>
      <c r="C32" s="140"/>
      <c r="D32" s="140"/>
      <c r="E32" s="140"/>
      <c r="F32" s="140" t="s">
        <v>220</v>
      </c>
      <c r="G32" s="140"/>
      <c r="H32" s="7"/>
    </row>
    <row r="33" spans="1:8" x14ac:dyDescent="0.25">
      <c r="A33" s="140" t="s">
        <v>221</v>
      </c>
      <c r="B33" s="140"/>
      <c r="C33" s="140"/>
      <c r="D33" s="140"/>
      <c r="E33" s="140"/>
      <c r="F33" s="140" t="s">
        <v>222</v>
      </c>
      <c r="G33" s="140"/>
      <c r="H33" s="7"/>
    </row>
    <row r="34" spans="1:8" x14ac:dyDescent="0.25">
      <c r="A34" s="140" t="s">
        <v>223</v>
      </c>
      <c r="B34" s="140"/>
      <c r="C34" s="140"/>
      <c r="D34" s="140"/>
      <c r="E34" s="140"/>
      <c r="F34" s="140" t="s">
        <v>224</v>
      </c>
      <c r="G34" s="140"/>
      <c r="H34" s="7"/>
    </row>
    <row r="35" spans="1:8" x14ac:dyDescent="0.25">
      <c r="A35" s="140" t="s">
        <v>225</v>
      </c>
      <c r="B35" s="140"/>
      <c r="C35" s="140"/>
      <c r="D35" s="140"/>
      <c r="E35" s="140"/>
      <c r="F35" s="140" t="s">
        <v>226</v>
      </c>
      <c r="G35" s="140"/>
      <c r="H35" s="7"/>
    </row>
    <row r="36" spans="1:8" x14ac:dyDescent="0.25">
      <c r="A36" s="140" t="s">
        <v>227</v>
      </c>
      <c r="B36" s="140"/>
      <c r="C36" s="140"/>
      <c r="D36" s="140"/>
      <c r="E36" s="140"/>
      <c r="F36" s="140" t="s">
        <v>228</v>
      </c>
      <c r="G36" s="140"/>
      <c r="H36" s="7"/>
    </row>
    <row r="37" spans="1:8" x14ac:dyDescent="0.25">
      <c r="A37" s="140" t="s">
        <v>229</v>
      </c>
      <c r="B37" s="140"/>
      <c r="C37" s="140"/>
      <c r="D37" s="140"/>
      <c r="E37" s="140"/>
      <c r="F37" s="140" t="s">
        <v>230</v>
      </c>
      <c r="G37" s="140"/>
      <c r="H37" s="7"/>
    </row>
    <row r="38" spans="1:8" x14ac:dyDescent="0.25">
      <c r="A38" s="140" t="s">
        <v>231</v>
      </c>
      <c r="B38" s="140"/>
      <c r="C38" s="140"/>
      <c r="D38" s="140"/>
      <c r="E38" s="140"/>
      <c r="F38" s="140" t="s">
        <v>232</v>
      </c>
      <c r="G38" s="140"/>
      <c r="H38" s="7"/>
    </row>
    <row r="39" spans="1:8" x14ac:dyDescent="0.25">
      <c r="A39" s="140" t="s">
        <v>233</v>
      </c>
      <c r="B39" s="140"/>
      <c r="C39" s="140"/>
      <c r="D39" s="140"/>
      <c r="E39" s="140"/>
      <c r="F39" s="140" t="s">
        <v>234</v>
      </c>
      <c r="G39" s="140"/>
      <c r="H39" s="7"/>
    </row>
    <row r="40" spans="1:8" x14ac:dyDescent="0.25">
      <c r="A40" s="140" t="s">
        <v>235</v>
      </c>
      <c r="B40" s="140"/>
      <c r="C40" s="140"/>
      <c r="D40" s="140"/>
      <c r="E40" s="140"/>
      <c r="F40" s="140" t="s">
        <v>236</v>
      </c>
      <c r="G40" s="140"/>
      <c r="H40" s="7"/>
    </row>
    <row r="41" spans="1:8" x14ac:dyDescent="0.25">
      <c r="A41" s="140" t="s">
        <v>237</v>
      </c>
      <c r="B41" s="140"/>
      <c r="C41" s="140"/>
      <c r="D41" s="140"/>
      <c r="E41" s="140"/>
      <c r="F41" s="140" t="s">
        <v>238</v>
      </c>
      <c r="G41" s="140"/>
      <c r="H41" s="7"/>
    </row>
    <row r="42" spans="1:8" x14ac:dyDescent="0.25">
      <c r="A42" s="140" t="s">
        <v>239</v>
      </c>
      <c r="B42" s="140"/>
      <c r="C42" s="140"/>
      <c r="D42" s="140"/>
      <c r="E42" s="140"/>
      <c r="F42" s="140" t="s">
        <v>240</v>
      </c>
      <c r="G42" s="140"/>
      <c r="H42" s="7"/>
    </row>
    <row r="43" spans="1:8" x14ac:dyDescent="0.25">
      <c r="A43" s="140" t="s">
        <v>241</v>
      </c>
      <c r="B43" s="140"/>
      <c r="C43" s="140"/>
      <c r="D43" s="140"/>
      <c r="E43" s="140"/>
      <c r="F43" s="140" t="s">
        <v>242</v>
      </c>
      <c r="G43" s="140"/>
      <c r="H43" s="7"/>
    </row>
    <row r="44" spans="1:8" x14ac:dyDescent="0.25">
      <c r="A44" s="140" t="s">
        <v>243</v>
      </c>
      <c r="B44" s="140"/>
      <c r="C44" s="140"/>
      <c r="D44" s="140"/>
      <c r="E44" s="140"/>
      <c r="F44" s="140" t="s">
        <v>244</v>
      </c>
      <c r="G44" s="140"/>
      <c r="H44" s="7"/>
    </row>
    <row r="45" spans="1:8" x14ac:dyDescent="0.25">
      <c r="A45" s="140" t="s">
        <v>245</v>
      </c>
      <c r="B45" s="140"/>
      <c r="C45" s="140"/>
      <c r="D45" s="140"/>
      <c r="E45" s="140"/>
      <c r="F45" s="140" t="s">
        <v>246</v>
      </c>
      <c r="G45" s="140"/>
      <c r="H45" s="7"/>
    </row>
    <row r="46" spans="1:8" x14ac:dyDescent="0.25">
      <c r="A46" s="140" t="s">
        <v>247</v>
      </c>
      <c r="B46" s="140"/>
      <c r="C46" s="140"/>
      <c r="D46" s="140"/>
      <c r="E46" s="140"/>
      <c r="F46" s="140" t="s">
        <v>248</v>
      </c>
      <c r="G46" s="140"/>
      <c r="H46" s="7"/>
    </row>
    <row r="47" spans="1:8" x14ac:dyDescent="0.25">
      <c r="A47" s="140" t="s">
        <v>249</v>
      </c>
      <c r="B47" s="140"/>
      <c r="C47" s="140"/>
      <c r="D47" s="140"/>
      <c r="E47" s="140"/>
      <c r="F47" s="140" t="s">
        <v>250</v>
      </c>
      <c r="G47" s="140"/>
      <c r="H47" s="7"/>
    </row>
    <row r="48" spans="1:8" x14ac:dyDescent="0.25">
      <c r="A48" s="140" t="s">
        <v>251</v>
      </c>
      <c r="B48" s="140"/>
      <c r="C48" s="140"/>
      <c r="D48" s="140"/>
      <c r="E48" s="140"/>
      <c r="F48" s="140" t="s">
        <v>252</v>
      </c>
      <c r="G48" s="140"/>
      <c r="H48" s="7"/>
    </row>
    <row r="49" spans="1:8" x14ac:dyDescent="0.25">
      <c r="A49" s="140" t="s">
        <v>253</v>
      </c>
      <c r="B49" s="140"/>
      <c r="C49" s="140"/>
      <c r="D49" s="140"/>
      <c r="E49" s="140"/>
      <c r="F49" s="140" t="s">
        <v>254</v>
      </c>
      <c r="G49" s="140"/>
      <c r="H49" s="7"/>
    </row>
    <row r="50" spans="1:8" x14ac:dyDescent="0.25">
      <c r="A50" s="140" t="s">
        <v>255</v>
      </c>
      <c r="B50" s="140"/>
      <c r="C50" s="140"/>
      <c r="D50" s="140"/>
      <c r="E50" s="140"/>
      <c r="F50" s="140" t="s">
        <v>256</v>
      </c>
      <c r="G50" s="140"/>
      <c r="H50" s="7"/>
    </row>
    <row r="51" spans="1:8" x14ac:dyDescent="0.25">
      <c r="A51" s="140" t="s">
        <v>257</v>
      </c>
      <c r="B51" s="140"/>
      <c r="C51" s="140"/>
      <c r="D51" s="140"/>
      <c r="E51" s="140"/>
      <c r="F51" s="140" t="s">
        <v>258</v>
      </c>
      <c r="G51" s="140"/>
      <c r="H51" s="7"/>
    </row>
    <row r="52" spans="1:8" x14ac:dyDescent="0.25">
      <c r="A52" s="140" t="s">
        <v>259</v>
      </c>
      <c r="B52" s="140"/>
      <c r="C52" s="140"/>
      <c r="D52" s="140"/>
      <c r="E52" s="140"/>
      <c r="F52" s="140" t="s">
        <v>260</v>
      </c>
      <c r="G52" s="140"/>
      <c r="H52" s="7"/>
    </row>
    <row r="53" spans="1:8" x14ac:dyDescent="0.25">
      <c r="A53" s="140" t="s">
        <v>261</v>
      </c>
      <c r="B53" s="140"/>
      <c r="C53" s="140"/>
      <c r="D53" s="140"/>
      <c r="E53" s="140"/>
      <c r="F53" s="140" t="s">
        <v>262</v>
      </c>
      <c r="G53" s="140"/>
      <c r="H53" s="7"/>
    </row>
    <row r="54" spans="1:8" x14ac:dyDescent="0.25">
      <c r="A54" s="140" t="s">
        <v>263</v>
      </c>
      <c r="B54" s="140"/>
      <c r="C54" s="140"/>
      <c r="D54" s="140"/>
      <c r="E54" s="140"/>
      <c r="F54" s="140" t="s">
        <v>264</v>
      </c>
      <c r="G54" s="140"/>
      <c r="H54" s="7"/>
    </row>
    <row r="55" spans="1:8" x14ac:dyDescent="0.25">
      <c r="A55" s="140" t="s">
        <v>265</v>
      </c>
      <c r="B55" s="140"/>
      <c r="C55" s="140"/>
      <c r="D55" s="140"/>
      <c r="E55" s="140"/>
      <c r="F55" s="140" t="s">
        <v>266</v>
      </c>
      <c r="G55" s="140"/>
      <c r="H55" s="7"/>
    </row>
    <row r="56" spans="1:8" x14ac:dyDescent="0.25">
      <c r="A56" s="140"/>
      <c r="B56" s="140"/>
      <c r="C56" s="140"/>
      <c r="D56" s="140"/>
      <c r="E56" s="140"/>
      <c r="F56" s="140" t="s">
        <v>267</v>
      </c>
      <c r="G56" s="140"/>
      <c r="H56" s="7"/>
    </row>
    <row r="57" spans="1:8" x14ac:dyDescent="0.25">
      <c r="A57" s="140" t="s">
        <v>268</v>
      </c>
      <c r="B57" s="140"/>
      <c r="C57" s="140"/>
      <c r="D57" s="140"/>
      <c r="E57" s="140"/>
      <c r="F57" s="140" t="s">
        <v>269</v>
      </c>
      <c r="G57" s="140"/>
      <c r="H57" s="7"/>
    </row>
    <row r="58" spans="1:8" x14ac:dyDescent="0.25">
      <c r="A58" s="140" t="s">
        <v>270</v>
      </c>
      <c r="B58" s="140"/>
      <c r="C58" s="140"/>
      <c r="D58" s="140"/>
      <c r="E58" s="140"/>
      <c r="F58" s="140" t="s">
        <v>271</v>
      </c>
      <c r="G58" s="140"/>
      <c r="H58" s="7"/>
    </row>
    <row r="59" spans="1:8" x14ac:dyDescent="0.25">
      <c r="A59" s="140" t="s">
        <v>272</v>
      </c>
      <c r="B59" s="140"/>
      <c r="C59" s="140"/>
      <c r="D59" s="140"/>
      <c r="E59" s="140"/>
      <c r="F59" s="140" t="s">
        <v>273</v>
      </c>
      <c r="G59" s="140"/>
      <c r="H59" s="7"/>
    </row>
    <row r="60" spans="1:8" x14ac:dyDescent="0.25">
      <c r="A60" s="140" t="s">
        <v>274</v>
      </c>
      <c r="B60" s="140"/>
      <c r="C60" s="140"/>
      <c r="D60" s="140"/>
      <c r="E60" s="140"/>
      <c r="F60" s="140" t="s">
        <v>275</v>
      </c>
      <c r="G60" s="140"/>
      <c r="H60" s="7"/>
    </row>
    <row r="61" spans="1:8" x14ac:dyDescent="0.25">
      <c r="A61" s="140" t="s">
        <v>276</v>
      </c>
      <c r="B61" s="140"/>
      <c r="C61" s="140"/>
      <c r="D61" s="140"/>
      <c r="E61" s="140"/>
      <c r="F61" s="140" t="s">
        <v>277</v>
      </c>
      <c r="G61" s="140"/>
      <c r="H61" s="7"/>
    </row>
    <row r="62" spans="1:8" x14ac:dyDescent="0.25">
      <c r="A62" s="140" t="s">
        <v>278</v>
      </c>
      <c r="B62" s="140"/>
      <c r="C62" s="140"/>
      <c r="D62" s="140"/>
      <c r="E62" s="140"/>
      <c r="F62" s="140" t="s">
        <v>279</v>
      </c>
      <c r="G62" s="140"/>
      <c r="H62" s="7"/>
    </row>
    <row r="63" spans="1:8" x14ac:dyDescent="0.25">
      <c r="A63" s="141"/>
      <c r="B63" s="141"/>
      <c r="C63" s="141"/>
      <c r="D63" s="141"/>
      <c r="E63" s="141"/>
      <c r="F63" s="140" t="s">
        <v>280</v>
      </c>
      <c r="G63" s="140"/>
      <c r="H63" s="7"/>
    </row>
    <row r="64" spans="1:8" x14ac:dyDescent="0.25">
      <c r="A64" s="141"/>
      <c r="B64" s="141"/>
      <c r="C64" s="141"/>
      <c r="D64" s="141"/>
      <c r="E64" s="141"/>
      <c r="F64" s="140" t="s">
        <v>281</v>
      </c>
      <c r="G64" s="140"/>
      <c r="H64" s="7"/>
    </row>
    <row r="65" spans="1:8" x14ac:dyDescent="0.25">
      <c r="A65" s="141"/>
      <c r="B65" s="141"/>
      <c r="C65" s="141"/>
      <c r="D65" s="141"/>
      <c r="E65" s="141"/>
      <c r="F65" s="140" t="s">
        <v>282</v>
      </c>
      <c r="G65" s="140"/>
      <c r="H65" s="7"/>
    </row>
    <row r="66" spans="1:8" x14ac:dyDescent="0.25">
      <c r="A66" s="141"/>
      <c r="B66" s="141"/>
      <c r="C66" s="141"/>
      <c r="D66" s="141"/>
      <c r="E66" s="141"/>
      <c r="F66" s="140" t="s">
        <v>283</v>
      </c>
      <c r="G66" s="140"/>
      <c r="H66" s="7"/>
    </row>
    <row r="67" spans="1:8" x14ac:dyDescent="0.25">
      <c r="A67" s="141"/>
      <c r="B67" s="141"/>
      <c r="C67" s="141"/>
      <c r="D67" s="141"/>
      <c r="E67" s="141"/>
      <c r="F67" s="140" t="s">
        <v>284</v>
      </c>
      <c r="G67" s="140"/>
      <c r="H67" s="7"/>
    </row>
    <row r="68" spans="1:8" x14ac:dyDescent="0.25">
      <c r="A68" s="141"/>
      <c r="B68" s="141"/>
      <c r="C68" s="141"/>
      <c r="D68" s="141"/>
      <c r="E68" s="141"/>
      <c r="F68" s="140" t="s">
        <v>285</v>
      </c>
      <c r="G68" s="140"/>
      <c r="H68" s="7"/>
    </row>
  </sheetData>
  <mergeCells count="134"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:H1"/>
    <mergeCell ref="A2:E2"/>
    <mergeCell ref="F2:G2"/>
    <mergeCell ref="A3:E3"/>
    <mergeCell ref="F3:G3"/>
    <mergeCell ref="A4:E4"/>
    <mergeCell ref="F4:G4"/>
    <mergeCell ref="A5:E5"/>
    <mergeCell ref="F5:G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5" x14ac:dyDescent="0.25"/>
  <cols>
    <col min="1" max="1" width="21.7109375"/>
    <col min="2" max="4" width="9.42578125"/>
    <col min="5" max="5" width="12.140625"/>
    <col min="6" max="6" width="9.42578125"/>
    <col min="7" max="7" width="14.5703125"/>
    <col min="8" max="8" width="13.28515625"/>
    <col min="9" max="9" width="9.42578125"/>
    <col min="10" max="10" width="14"/>
    <col min="11" max="11" width="10.7109375"/>
    <col min="12" max="1025" width="8.7109375"/>
  </cols>
  <sheetData>
    <row r="1" spans="1:11" x14ac:dyDescent="0.25">
      <c r="A1" s="134" t="s">
        <v>755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5">
      <c r="A2" s="5"/>
      <c r="B2" s="96" t="s">
        <v>756</v>
      </c>
      <c r="C2" s="96" t="s">
        <v>757</v>
      </c>
      <c r="D2" s="96" t="s">
        <v>758</v>
      </c>
      <c r="E2" s="96" t="s">
        <v>759</v>
      </c>
      <c r="F2" s="96" t="s">
        <v>760</v>
      </c>
      <c r="G2" s="96" t="s">
        <v>761</v>
      </c>
      <c r="H2" s="96" t="s">
        <v>762</v>
      </c>
      <c r="I2" s="96" t="s">
        <v>763</v>
      </c>
      <c r="J2" s="96" t="s">
        <v>764</v>
      </c>
      <c r="K2" s="96" t="s">
        <v>765</v>
      </c>
    </row>
    <row r="3" spans="1:11" x14ac:dyDescent="0.25">
      <c r="A3" s="11" t="s">
        <v>766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11" t="s">
        <v>767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11" t="s">
        <v>768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11" t="s">
        <v>769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11" t="s">
        <v>770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11" t="s">
        <v>771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11" t="s">
        <v>772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11" t="s">
        <v>773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11" t="s">
        <v>774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11" t="s">
        <v>775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11" t="s">
        <v>776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11" t="s">
        <v>777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11" t="s">
        <v>778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11" t="s">
        <v>779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11" t="s">
        <v>780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11" t="s">
        <v>781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11" t="s">
        <v>782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s="11" t="s">
        <v>783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5">
      <c r="A21" s="11" t="s">
        <v>784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5">
      <c r="A22" s="11" t="s">
        <v>785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5">
      <c r="A23" s="11" t="s">
        <v>786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5">
      <c r="A24" s="11" t="s">
        <v>787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5">
      <c r="A25" s="11" t="s">
        <v>788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5">
      <c r="A26" s="11" t="s">
        <v>789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5">
      <c r="A27" s="11" t="s">
        <v>790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5">
      <c r="A28" s="11" t="s">
        <v>791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25">
      <c r="A29" s="11" t="s">
        <v>792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25">
      <c r="A30" s="11" t="s">
        <v>793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25">
      <c r="A31" s="11" t="s">
        <v>794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25">
      <c r="A32" s="11" t="s">
        <v>795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11" t="s">
        <v>796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5" x14ac:dyDescent="0.25"/>
  <cols>
    <col min="1" max="1" width="12.7109375"/>
    <col min="2" max="2" width="27.7109375"/>
    <col min="3" max="3" width="9.42578125"/>
    <col min="4" max="4" width="17"/>
    <col min="5" max="5" width="14"/>
    <col min="6" max="6" width="17.28515625"/>
    <col min="7" max="10" width="9.42578125"/>
    <col min="11" max="1025" width="8.7109375"/>
  </cols>
  <sheetData>
    <row r="1" spans="1:10" x14ac:dyDescent="0.25">
      <c r="A1" s="97"/>
      <c r="B1" s="143" t="s">
        <v>797</v>
      </c>
      <c r="C1" s="143"/>
      <c r="D1" s="143"/>
      <c r="E1" s="143"/>
      <c r="F1" s="143"/>
    </row>
    <row r="2" spans="1:10" x14ac:dyDescent="0.25">
      <c r="A2" s="98"/>
      <c r="B2" s="143"/>
      <c r="C2" s="143"/>
      <c r="D2" s="143"/>
      <c r="E2" s="143"/>
      <c r="F2" s="143"/>
    </row>
    <row r="3" spans="1:10" x14ac:dyDescent="0.25">
      <c r="A3" s="99" t="s">
        <v>287</v>
      </c>
      <c r="B3" s="99" t="s">
        <v>2</v>
      </c>
      <c r="C3" s="99" t="s">
        <v>798</v>
      </c>
      <c r="D3" s="99" t="s">
        <v>799</v>
      </c>
      <c r="E3" s="99" t="s">
        <v>800</v>
      </c>
      <c r="F3" s="100" t="s">
        <v>801</v>
      </c>
    </row>
    <row r="4" spans="1:10" ht="15.75" x14ac:dyDescent="0.25">
      <c r="A4" s="101"/>
      <c r="B4" s="101"/>
      <c r="C4" s="102"/>
      <c r="D4" s="103"/>
      <c r="E4" s="104"/>
      <c r="F4" s="30"/>
      <c r="J4" s="95"/>
    </row>
    <row r="5" spans="1:10" ht="15.75" x14ac:dyDescent="0.25">
      <c r="A5" s="101"/>
      <c r="B5" s="101"/>
      <c r="C5" s="102"/>
      <c r="D5" s="103"/>
      <c r="E5" s="104"/>
      <c r="F5" s="30"/>
    </row>
    <row r="6" spans="1:10" x14ac:dyDescent="0.25">
      <c r="A6" s="5"/>
      <c r="B6" s="5"/>
      <c r="C6" s="7"/>
      <c r="D6" s="103"/>
      <c r="E6" s="104"/>
      <c r="F6" s="30"/>
    </row>
    <row r="7" spans="1:10" ht="15.75" x14ac:dyDescent="0.25">
      <c r="A7" s="101"/>
      <c r="B7" s="101"/>
      <c r="C7" s="7"/>
      <c r="D7" s="103"/>
      <c r="E7" s="104"/>
      <c r="F7" s="30"/>
    </row>
    <row r="8" spans="1:10" ht="15.75" x14ac:dyDescent="0.25">
      <c r="A8" s="101"/>
      <c r="B8" s="5"/>
      <c r="C8" s="7"/>
      <c r="D8" s="103"/>
      <c r="E8" s="104"/>
      <c r="F8" s="30"/>
    </row>
    <row r="9" spans="1:10" ht="15.75" x14ac:dyDescent="0.25">
      <c r="A9" s="101"/>
      <c r="B9" s="5"/>
      <c r="C9" s="7"/>
      <c r="D9" s="103"/>
      <c r="E9" s="104"/>
      <c r="F9" s="30"/>
    </row>
    <row r="10" spans="1:10" ht="15.75" x14ac:dyDescent="0.25">
      <c r="A10" s="101"/>
      <c r="B10" s="101"/>
      <c r="C10" s="102"/>
      <c r="D10" s="103"/>
      <c r="E10" s="104"/>
      <c r="F10" s="30"/>
    </row>
    <row r="11" spans="1:10" ht="15.75" x14ac:dyDescent="0.25">
      <c r="A11" s="101"/>
      <c r="B11" s="101"/>
      <c r="C11" s="102"/>
      <c r="D11" s="103"/>
      <c r="E11" s="104"/>
      <c r="F11" s="30"/>
    </row>
    <row r="12" spans="1:10" ht="15.75" x14ac:dyDescent="0.25">
      <c r="A12" s="101"/>
      <c r="B12" s="101"/>
      <c r="C12" s="102"/>
      <c r="D12" s="103"/>
      <c r="E12" s="104"/>
      <c r="F12" s="30"/>
    </row>
    <row r="13" spans="1:10" ht="15.75" x14ac:dyDescent="0.25">
      <c r="A13" s="101"/>
      <c r="B13" s="101"/>
      <c r="C13" s="102"/>
      <c r="D13" s="103"/>
      <c r="E13" s="104"/>
      <c r="F13" s="30"/>
    </row>
    <row r="14" spans="1:10" ht="15.75" x14ac:dyDescent="0.25">
      <c r="A14" s="105"/>
      <c r="B14" s="101"/>
      <c r="C14" s="102"/>
      <c r="D14" s="103"/>
      <c r="E14" s="104"/>
      <c r="F14" s="30"/>
    </row>
    <row r="15" spans="1:10" ht="15.75" x14ac:dyDescent="0.25">
      <c r="A15" s="106"/>
      <c r="B15" s="106"/>
      <c r="C15" s="107"/>
      <c r="D15" s="103"/>
      <c r="E15" s="104"/>
      <c r="F15" s="30"/>
    </row>
    <row r="16" spans="1:10" ht="15.75" x14ac:dyDescent="0.25">
      <c r="A16" s="101"/>
      <c r="B16" s="106"/>
      <c r="C16" s="107"/>
      <c r="D16" s="103"/>
      <c r="E16" s="104"/>
      <c r="F16" s="30"/>
    </row>
    <row r="17" spans="1:6" ht="15.75" x14ac:dyDescent="0.25">
      <c r="A17" s="5"/>
      <c r="B17" s="106"/>
      <c r="C17" s="108"/>
      <c r="D17" s="109"/>
      <c r="E17" s="104"/>
      <c r="F17" s="30"/>
    </row>
    <row r="18" spans="1:6" x14ac:dyDescent="0.25">
      <c r="D18" s="135" t="s">
        <v>802</v>
      </c>
      <c r="E18" s="135"/>
      <c r="F18" s="11" t="s">
        <v>803</v>
      </c>
    </row>
    <row r="19" spans="1:6" x14ac:dyDescent="0.25">
      <c r="D19" s="142">
        <f>SUM(D4:D18)</f>
        <v>0</v>
      </c>
      <c r="E19" s="142"/>
      <c r="F19" s="110">
        <f>SUM(F4:F18)</f>
        <v>0</v>
      </c>
    </row>
    <row r="24" spans="1:6" x14ac:dyDescent="0.25">
      <c r="A24" s="97"/>
      <c r="B24" s="143" t="s">
        <v>797</v>
      </c>
      <c r="C24" s="143"/>
      <c r="D24" s="143"/>
      <c r="E24" s="143"/>
      <c r="F24" s="143"/>
    </row>
    <row r="25" spans="1:6" x14ac:dyDescent="0.25">
      <c r="A25" s="98"/>
      <c r="B25" s="143"/>
      <c r="C25" s="143"/>
      <c r="D25" s="143"/>
      <c r="E25" s="143"/>
      <c r="F25" s="143"/>
    </row>
    <row r="26" spans="1:6" x14ac:dyDescent="0.25">
      <c r="A26" s="99" t="s">
        <v>287</v>
      </c>
      <c r="B26" s="99" t="s">
        <v>2</v>
      </c>
      <c r="C26" s="99" t="s">
        <v>798</v>
      </c>
      <c r="D26" s="99" t="s">
        <v>799</v>
      </c>
      <c r="E26" s="99" t="s">
        <v>800</v>
      </c>
      <c r="F26" s="100" t="s">
        <v>801</v>
      </c>
    </row>
    <row r="27" spans="1:6" ht="15.75" x14ac:dyDescent="0.25">
      <c r="A27" s="101"/>
      <c r="B27" s="101"/>
      <c r="C27" s="7"/>
      <c r="D27" s="109"/>
      <c r="E27" s="111"/>
      <c r="F27" s="30"/>
    </row>
    <row r="28" spans="1:6" ht="15.75" x14ac:dyDescent="0.25">
      <c r="A28" s="101"/>
      <c r="B28" s="5"/>
      <c r="C28" s="7"/>
      <c r="D28" s="109"/>
      <c r="E28" s="111"/>
      <c r="F28" s="30"/>
    </row>
    <row r="29" spans="1:6" ht="15.75" x14ac:dyDescent="0.25">
      <c r="A29" s="101"/>
      <c r="B29" s="5"/>
      <c r="C29" s="7"/>
      <c r="D29" s="109"/>
      <c r="E29" s="111"/>
      <c r="F29" s="30"/>
    </row>
    <row r="30" spans="1:6" ht="15.75" x14ac:dyDescent="0.25">
      <c r="A30" s="101"/>
      <c r="B30" s="101"/>
      <c r="C30" s="102"/>
      <c r="D30" s="109"/>
      <c r="E30" s="111"/>
      <c r="F30" s="30"/>
    </row>
    <row r="31" spans="1:6" ht="15.75" x14ac:dyDescent="0.25">
      <c r="A31" s="101"/>
      <c r="B31" s="101"/>
      <c r="C31" s="102"/>
      <c r="D31" s="109"/>
      <c r="E31" s="4"/>
      <c r="F31" s="30"/>
    </row>
    <row r="32" spans="1:6" ht="15.75" x14ac:dyDescent="0.25">
      <c r="A32" s="101"/>
      <c r="B32" s="101"/>
      <c r="C32" s="102"/>
      <c r="D32" s="109"/>
      <c r="E32" s="111"/>
      <c r="F32" s="30"/>
    </row>
    <row r="33" spans="1:6" ht="15.75" x14ac:dyDescent="0.25">
      <c r="A33" s="101"/>
      <c r="B33" s="101"/>
      <c r="C33" s="102"/>
      <c r="D33" s="109"/>
      <c r="E33" s="111"/>
      <c r="F33" s="30"/>
    </row>
    <row r="34" spans="1:6" ht="15.75" x14ac:dyDescent="0.25">
      <c r="A34" s="105"/>
      <c r="B34" s="101"/>
      <c r="C34" s="102"/>
      <c r="D34" s="109"/>
      <c r="E34" s="111"/>
      <c r="F34" s="30"/>
    </row>
    <row r="35" spans="1:6" ht="15.75" x14ac:dyDescent="0.25">
      <c r="A35" s="106"/>
      <c r="B35" s="106"/>
      <c r="C35" s="107"/>
      <c r="D35" s="109"/>
      <c r="E35" s="4"/>
      <c r="F35" s="30"/>
    </row>
    <row r="36" spans="1:6" ht="15.75" x14ac:dyDescent="0.25">
      <c r="A36" s="101"/>
      <c r="B36" s="106"/>
      <c r="C36" s="107"/>
      <c r="D36" s="109"/>
      <c r="E36" s="4"/>
      <c r="F36" s="30"/>
    </row>
    <row r="37" spans="1:6" ht="15.75" x14ac:dyDescent="0.25">
      <c r="A37" s="5"/>
      <c r="B37" s="106"/>
      <c r="C37" s="108"/>
      <c r="D37" s="109"/>
      <c r="E37" s="4"/>
      <c r="F37" s="30"/>
    </row>
    <row r="38" spans="1:6" x14ac:dyDescent="0.25">
      <c r="D38" s="135" t="s">
        <v>802</v>
      </c>
      <c r="E38" s="135"/>
      <c r="F38" s="11" t="s">
        <v>803</v>
      </c>
    </row>
    <row r="39" spans="1:6" x14ac:dyDescent="0.25">
      <c r="D39" s="142">
        <f>SUM(D27:D38)</f>
        <v>0</v>
      </c>
      <c r="E39" s="142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5" x14ac:dyDescent="0.25"/>
  <cols>
    <col min="1" max="17" width="9.42578125"/>
    <col min="18" max="1025" width="8.7109375"/>
  </cols>
  <sheetData>
    <row r="1" spans="1:17" ht="17.25" x14ac:dyDescent="0.25">
      <c r="A1" s="144" t="s">
        <v>804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12"/>
      <c r="O1" s="112"/>
      <c r="P1" s="112"/>
      <c r="Q1" s="112"/>
    </row>
    <row r="2" spans="1:17" x14ac:dyDescent="0.25">
      <c r="A2" s="22" t="s">
        <v>805</v>
      </c>
      <c r="B2" s="22" t="s">
        <v>806</v>
      </c>
      <c r="C2" s="22" t="s">
        <v>807</v>
      </c>
      <c r="D2" s="22" t="s">
        <v>808</v>
      </c>
      <c r="E2" s="22" t="s">
        <v>809</v>
      </c>
      <c r="F2" s="22" t="s">
        <v>810</v>
      </c>
      <c r="G2" s="22" t="s">
        <v>811</v>
      </c>
      <c r="H2" s="22" t="s">
        <v>812</v>
      </c>
      <c r="I2" s="22" t="s">
        <v>813</v>
      </c>
      <c r="J2" s="22" t="s">
        <v>814</v>
      </c>
      <c r="K2" s="22" t="s">
        <v>815</v>
      </c>
      <c r="L2" s="22" t="s">
        <v>816</v>
      </c>
      <c r="M2" s="22" t="s">
        <v>817</v>
      </c>
      <c r="N2" s="112"/>
      <c r="O2" s="112"/>
      <c r="P2" s="112"/>
      <c r="Q2" s="112"/>
    </row>
    <row r="3" spans="1:17" x14ac:dyDescent="0.25">
      <c r="A3" s="15" t="s">
        <v>818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25">
      <c r="A14" s="15" t="s">
        <v>819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25">
      <c r="A21" s="5" t="s">
        <v>820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821</v>
      </c>
      <c r="O21" s="112"/>
      <c r="P21" s="112"/>
      <c r="Q21" s="112"/>
    </row>
    <row r="22" spans="1:17" x14ac:dyDescent="0.25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25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25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25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25">
      <c r="A26" s="113" t="s">
        <v>822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25">
      <c r="A27" s="113" t="s">
        <v>823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25">
      <c r="A28" s="113" t="s">
        <v>824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25">
      <c r="A35" s="145" t="s">
        <v>825</v>
      </c>
      <c r="B35" s="145"/>
      <c r="C35" s="145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25">
      <c r="A36" s="10" t="s">
        <v>826</v>
      </c>
      <c r="B36" s="10">
        <v>3</v>
      </c>
      <c r="C36" s="10" t="s">
        <v>827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25">
      <c r="A37" s="10" t="s">
        <v>828</v>
      </c>
      <c r="B37" s="10">
        <v>7.5</v>
      </c>
      <c r="C37" s="10" t="s">
        <v>827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25">
      <c r="A38" s="10" t="s">
        <v>829</v>
      </c>
      <c r="B38" s="10">
        <v>9</v>
      </c>
      <c r="C38" s="10" t="s">
        <v>827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25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5" x14ac:dyDescent="0.25"/>
  <cols>
    <col min="1" max="1" width="17.85546875"/>
    <col min="2" max="2" width="11.7109375"/>
    <col min="3" max="4" width="13.28515625"/>
    <col min="5" max="7" width="9.42578125"/>
    <col min="8" max="1025" width="8.7109375"/>
  </cols>
  <sheetData>
    <row r="1" spans="1:7" ht="19.5" x14ac:dyDescent="0.25">
      <c r="A1" s="146" t="s">
        <v>819</v>
      </c>
      <c r="B1" s="146"/>
      <c r="C1" s="146"/>
      <c r="D1" s="146"/>
      <c r="E1" s="146"/>
      <c r="F1" s="146"/>
      <c r="G1" s="146"/>
    </row>
    <row r="2" spans="1:7" x14ac:dyDescent="0.25">
      <c r="A2" s="1"/>
      <c r="B2" s="2" t="s">
        <v>830</v>
      </c>
      <c r="C2" s="2" t="s">
        <v>831</v>
      </c>
      <c r="D2" s="2" t="s">
        <v>832</v>
      </c>
      <c r="E2" s="2" t="s">
        <v>833</v>
      </c>
      <c r="F2" s="11"/>
      <c r="G2" s="11"/>
    </row>
    <row r="3" spans="1:7" x14ac:dyDescent="0.25">
      <c r="A3" s="11" t="s">
        <v>834</v>
      </c>
      <c r="B3" s="50" t="s">
        <v>835</v>
      </c>
      <c r="C3" s="50"/>
      <c r="D3" s="7"/>
      <c r="E3" s="7"/>
      <c r="F3" s="7"/>
      <c r="G3" s="7"/>
    </row>
    <row r="4" spans="1:7" x14ac:dyDescent="0.25">
      <c r="A4" s="11" t="s">
        <v>836</v>
      </c>
      <c r="B4" s="50" t="s">
        <v>835</v>
      </c>
      <c r="C4" s="50"/>
      <c r="D4" s="7"/>
      <c r="E4" s="7"/>
      <c r="F4" s="7"/>
      <c r="G4" s="7"/>
    </row>
    <row r="5" spans="1:7" x14ac:dyDescent="0.25">
      <c r="A5" s="11" t="s">
        <v>837</v>
      </c>
      <c r="B5" s="50" t="s">
        <v>838</v>
      </c>
      <c r="C5" s="50"/>
      <c r="D5" s="7"/>
      <c r="E5" s="7"/>
      <c r="F5" s="7"/>
      <c r="G5" s="7"/>
    </row>
    <row r="6" spans="1:7" x14ac:dyDescent="0.25">
      <c r="A6" s="11" t="s">
        <v>839</v>
      </c>
      <c r="B6" s="50" t="s">
        <v>840</v>
      </c>
      <c r="C6" s="50"/>
      <c r="D6" s="7"/>
      <c r="E6" s="7"/>
      <c r="F6" s="7"/>
      <c r="G6" s="7"/>
    </row>
    <row r="7" spans="1:7" x14ac:dyDescent="0.25">
      <c r="A7" s="11"/>
      <c r="B7" s="50"/>
      <c r="C7" s="50"/>
      <c r="D7" s="7"/>
      <c r="E7" s="7"/>
      <c r="F7" s="7"/>
      <c r="G7" s="7"/>
    </row>
    <row r="8" spans="1:7" x14ac:dyDescent="0.25">
      <c r="A8" s="11" t="s">
        <v>841</v>
      </c>
      <c r="B8" s="50" t="s">
        <v>842</v>
      </c>
      <c r="C8" s="50"/>
      <c r="D8" s="7"/>
      <c r="E8" s="7"/>
      <c r="F8" s="7"/>
      <c r="G8" s="7"/>
    </row>
    <row r="9" spans="1:7" x14ac:dyDescent="0.25">
      <c r="A9" s="11" t="s">
        <v>843</v>
      </c>
      <c r="B9" s="50">
        <v>2018</v>
      </c>
      <c r="C9" s="50"/>
      <c r="D9" s="7"/>
      <c r="E9" s="7"/>
      <c r="F9" s="7"/>
      <c r="G9" s="7"/>
    </row>
    <row r="10" spans="1:7" x14ac:dyDescent="0.25">
      <c r="A10" s="11" t="s">
        <v>844</v>
      </c>
      <c r="B10" s="50">
        <v>2019</v>
      </c>
      <c r="C10" s="50"/>
      <c r="D10" s="7"/>
      <c r="E10" s="7"/>
      <c r="F10" s="7"/>
      <c r="G10" s="7"/>
    </row>
    <row r="11" spans="1:7" x14ac:dyDescent="0.25">
      <c r="A11" s="39" t="s">
        <v>845</v>
      </c>
      <c r="B11" s="50" t="s">
        <v>846</v>
      </c>
      <c r="C11" s="50" t="s">
        <v>847</v>
      </c>
      <c r="D11" s="7"/>
      <c r="E11" s="7"/>
      <c r="F11" s="7"/>
      <c r="G11" s="7"/>
    </row>
    <row r="12" spans="1:7" x14ac:dyDescent="0.25">
      <c r="A12" s="11" t="s">
        <v>848</v>
      </c>
      <c r="B12" s="50" t="s">
        <v>849</v>
      </c>
      <c r="C12" s="50"/>
      <c r="D12" s="7"/>
      <c r="E12" s="7"/>
      <c r="F12" s="7"/>
      <c r="G12" s="7"/>
    </row>
    <row r="13" spans="1:7" x14ac:dyDescent="0.25">
      <c r="A13" s="11" t="s">
        <v>850</v>
      </c>
      <c r="B13" s="50"/>
      <c r="C13" s="50"/>
      <c r="D13" s="7"/>
      <c r="E13" s="7"/>
      <c r="F13" s="7"/>
      <c r="G13" s="7"/>
    </row>
    <row r="14" spans="1:7" x14ac:dyDescent="0.25">
      <c r="A14" s="11" t="s">
        <v>851</v>
      </c>
      <c r="B14" s="50"/>
      <c r="C14" s="50"/>
      <c r="D14" s="7"/>
      <c r="E14" s="7"/>
      <c r="F14" s="7"/>
      <c r="G14" s="7"/>
    </row>
    <row r="15" spans="1:7" x14ac:dyDescent="0.25">
      <c r="A15" s="11" t="s">
        <v>852</v>
      </c>
      <c r="B15" s="50"/>
      <c r="C15" s="50"/>
      <c r="D15" s="7"/>
      <c r="E15" s="7"/>
      <c r="F15" s="7"/>
      <c r="G15" s="7"/>
    </row>
    <row r="16" spans="1:7" x14ac:dyDescent="0.25">
      <c r="A16" s="11"/>
      <c r="B16" s="50"/>
      <c r="C16" s="50"/>
      <c r="D16" s="7"/>
      <c r="E16" s="7"/>
      <c r="F16" s="7"/>
      <c r="G16" s="7"/>
    </row>
    <row r="17" spans="1:7" x14ac:dyDescent="0.25">
      <c r="A17" s="11"/>
      <c r="B17" s="50"/>
      <c r="C17" s="50"/>
      <c r="D17" s="7"/>
      <c r="E17" s="7"/>
      <c r="F17" s="7"/>
      <c r="G17" s="7"/>
    </row>
    <row r="18" spans="1:7" x14ac:dyDescent="0.25">
      <c r="A18" s="11"/>
      <c r="B18" s="50"/>
      <c r="C18" s="50"/>
      <c r="D18" s="7"/>
      <c r="E18" s="7"/>
      <c r="F18" s="7"/>
      <c r="G18" s="7"/>
    </row>
    <row r="19" spans="1:7" x14ac:dyDescent="0.25">
      <c r="A19" s="114"/>
    </row>
    <row r="20" spans="1:7" ht="19.5" x14ac:dyDescent="0.25">
      <c r="A20" s="146" t="s">
        <v>818</v>
      </c>
      <c r="B20" s="146"/>
      <c r="C20" s="146"/>
      <c r="D20" s="146"/>
      <c r="E20" s="146"/>
      <c r="F20" s="146"/>
      <c r="G20" s="146"/>
    </row>
    <row r="21" spans="1:7" x14ac:dyDescent="0.25">
      <c r="A21" s="11" t="s">
        <v>834</v>
      </c>
      <c r="B21" s="5"/>
      <c r="C21" s="5"/>
      <c r="D21" s="5"/>
      <c r="E21" s="5"/>
      <c r="F21" s="5"/>
      <c r="G21" s="5"/>
    </row>
    <row r="22" spans="1:7" x14ac:dyDescent="0.25">
      <c r="A22" s="11" t="s">
        <v>836</v>
      </c>
      <c r="B22" s="5"/>
      <c r="C22" s="5"/>
      <c r="D22" s="5"/>
      <c r="E22" s="5"/>
      <c r="F22" s="5"/>
      <c r="G22" s="5"/>
    </row>
    <row r="23" spans="1:7" x14ac:dyDescent="0.25">
      <c r="A23" s="11" t="s">
        <v>853</v>
      </c>
      <c r="B23" s="5"/>
      <c r="C23" s="5"/>
      <c r="D23" s="5"/>
      <c r="E23" s="5"/>
      <c r="F23" s="5"/>
      <c r="G23" s="5"/>
    </row>
    <row r="24" spans="1:7" x14ac:dyDescent="0.25">
      <c r="A24" s="11"/>
      <c r="B24" s="5"/>
      <c r="C24" s="5"/>
      <c r="D24" s="5"/>
      <c r="E24" s="5"/>
      <c r="F24" s="5"/>
      <c r="G24" s="5"/>
    </row>
    <row r="25" spans="1:7" x14ac:dyDescent="0.25">
      <c r="A25" s="11" t="s">
        <v>841</v>
      </c>
      <c r="B25" s="5"/>
      <c r="C25" s="5"/>
      <c r="D25" s="5"/>
      <c r="E25" s="5"/>
      <c r="F25" s="5"/>
      <c r="G25" s="5"/>
    </row>
    <row r="26" spans="1:7" x14ac:dyDescent="0.25">
      <c r="A26" s="11" t="s">
        <v>64</v>
      </c>
      <c r="B26" s="5"/>
      <c r="C26" s="5"/>
      <c r="D26" s="5"/>
      <c r="E26" s="5"/>
      <c r="F26" s="5"/>
      <c r="G26" s="5"/>
    </row>
    <row r="27" spans="1:7" x14ac:dyDescent="0.25">
      <c r="A27" s="138" t="s">
        <v>854</v>
      </c>
      <c r="B27" s="5"/>
      <c r="C27" s="5"/>
      <c r="D27" s="5"/>
      <c r="E27" s="5"/>
      <c r="F27" s="5"/>
      <c r="G27" s="5"/>
    </row>
    <row r="28" spans="1:7" x14ac:dyDescent="0.25">
      <c r="A28" s="138"/>
      <c r="B28" s="5"/>
      <c r="C28" s="5"/>
      <c r="D28" s="5"/>
      <c r="E28" s="5"/>
      <c r="F28" s="5"/>
      <c r="G28" s="5"/>
    </row>
    <row r="29" spans="1:7" x14ac:dyDescent="0.25">
      <c r="A29" s="138"/>
      <c r="B29" s="5"/>
      <c r="C29" s="5"/>
      <c r="D29" s="5"/>
      <c r="E29" s="5"/>
      <c r="F29" s="5"/>
      <c r="G29" s="5"/>
    </row>
    <row r="30" spans="1:7" x14ac:dyDescent="0.25">
      <c r="A30" s="138"/>
      <c r="B30" s="5"/>
      <c r="C30" s="5"/>
      <c r="D30" s="5"/>
      <c r="E30" s="5"/>
      <c r="F30" s="5"/>
      <c r="G30" s="5"/>
    </row>
    <row r="31" spans="1:7" x14ac:dyDescent="0.25">
      <c r="A31" s="138"/>
      <c r="B31" s="5"/>
      <c r="C31" s="5"/>
      <c r="D31" s="5"/>
      <c r="E31" s="5"/>
      <c r="F31" s="5"/>
      <c r="G31" s="5"/>
    </row>
    <row r="32" spans="1:7" x14ac:dyDescent="0.25">
      <c r="A32" s="138"/>
      <c r="B32" s="5"/>
      <c r="C32" s="5"/>
      <c r="D32" s="5"/>
      <c r="E32" s="5"/>
      <c r="F32" s="5"/>
      <c r="G32" s="5"/>
    </row>
    <row r="33" spans="1:7" x14ac:dyDescent="0.25">
      <c r="A33" s="138"/>
      <c r="B33" s="5"/>
      <c r="C33" s="5"/>
      <c r="D33" s="5"/>
      <c r="E33" s="5"/>
      <c r="F33" s="5"/>
      <c r="G33" s="5"/>
    </row>
    <row r="34" spans="1:7" x14ac:dyDescent="0.25">
      <c r="A34" s="138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5" x14ac:dyDescent="0.25"/>
  <cols>
    <col min="1" max="1" width="12.85546875"/>
    <col min="2" max="2" width="14.28515625"/>
    <col min="3" max="3" width="13.7109375"/>
    <col min="4" max="4" width="13.28515625"/>
    <col min="5" max="5" width="13.7109375"/>
    <col min="6" max="11" width="0" hidden="1"/>
    <col min="12" max="12" width="11.7109375"/>
    <col min="13" max="13" width="9.42578125"/>
    <col min="14" max="14" width="11.7109375"/>
    <col min="15" max="15" width="9.42578125"/>
    <col min="16" max="16" width="12"/>
    <col min="17" max="23" width="9.42578125"/>
    <col min="24" max="1025" width="8.7109375"/>
  </cols>
  <sheetData>
    <row r="1" spans="1:23" ht="23.25" x14ac:dyDescent="0.25">
      <c r="A1" s="147" t="s">
        <v>855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</row>
    <row r="2" spans="1:23" ht="17.25" x14ac:dyDescent="0.25">
      <c r="A2" s="148" t="s">
        <v>819</v>
      </c>
      <c r="B2" s="148"/>
      <c r="C2" s="148" t="s">
        <v>856</v>
      </c>
      <c r="D2" s="148"/>
      <c r="E2" s="148"/>
      <c r="F2" s="141"/>
      <c r="G2" s="141"/>
      <c r="H2" s="141"/>
      <c r="I2" s="141"/>
      <c r="J2" s="141"/>
      <c r="K2" s="141"/>
      <c r="M2" s="149" t="s">
        <v>857</v>
      </c>
      <c r="N2" s="149"/>
      <c r="O2" s="149"/>
      <c r="P2" s="149"/>
      <c r="Q2" s="149"/>
      <c r="R2" s="149"/>
      <c r="S2" s="149"/>
      <c r="T2" s="149"/>
      <c r="U2" s="149"/>
      <c r="V2" s="149"/>
      <c r="W2" s="149"/>
    </row>
    <row r="3" spans="1:23" x14ac:dyDescent="0.25">
      <c r="A3" s="1" t="s">
        <v>858</v>
      </c>
      <c r="B3" s="2" t="s">
        <v>859</v>
      </c>
      <c r="C3" s="2" t="s">
        <v>860</v>
      </c>
      <c r="D3" s="1" t="s">
        <v>859</v>
      </c>
      <c r="E3" s="2"/>
      <c r="F3" s="1"/>
      <c r="G3" s="2"/>
      <c r="H3" s="1"/>
      <c r="I3" s="2"/>
      <c r="J3" s="1"/>
      <c r="K3" s="2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</row>
    <row r="4" spans="1:23" x14ac:dyDescent="0.25">
      <c r="A4" s="134" t="s">
        <v>861</v>
      </c>
      <c r="B4" s="5"/>
      <c r="C4" s="5"/>
      <c r="D4" s="5"/>
      <c r="E4" s="5"/>
      <c r="F4" s="5"/>
      <c r="G4" s="5"/>
      <c r="H4" s="5"/>
      <c r="I4" s="5"/>
      <c r="J4" s="5"/>
      <c r="K4" s="5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</row>
    <row r="5" spans="1:23" x14ac:dyDescent="0.25">
      <c r="A5" s="134"/>
      <c r="B5" s="5"/>
      <c r="C5" s="5"/>
      <c r="D5" s="5"/>
      <c r="E5" s="5"/>
      <c r="F5" s="5"/>
      <c r="G5" s="5"/>
      <c r="H5" s="5"/>
      <c r="I5" s="5"/>
      <c r="J5" s="5"/>
      <c r="K5" s="5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</row>
    <row r="6" spans="1:23" x14ac:dyDescent="0.25">
      <c r="A6" s="134" t="s">
        <v>862</v>
      </c>
      <c r="B6" s="5"/>
      <c r="C6" s="5"/>
      <c r="D6" s="5"/>
      <c r="E6" s="5"/>
      <c r="F6" s="5"/>
      <c r="G6" s="5"/>
      <c r="H6" s="5"/>
      <c r="I6" s="5"/>
      <c r="J6" s="5"/>
      <c r="K6" s="5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</row>
    <row r="7" spans="1:23" x14ac:dyDescent="0.25">
      <c r="A7" s="134"/>
      <c r="B7" s="5"/>
      <c r="C7" s="5"/>
      <c r="D7" s="5"/>
      <c r="E7" s="5"/>
      <c r="F7" s="5"/>
      <c r="G7" s="5"/>
      <c r="H7" s="5"/>
      <c r="I7" s="5"/>
      <c r="J7" s="5"/>
      <c r="K7" s="5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</row>
    <row r="8" spans="1:23" x14ac:dyDescent="0.25">
      <c r="A8" s="11" t="s">
        <v>863</v>
      </c>
      <c r="B8" s="5"/>
      <c r="C8" s="5"/>
      <c r="D8" s="5"/>
      <c r="E8" s="5"/>
      <c r="F8" s="5"/>
      <c r="G8" s="5"/>
      <c r="H8" s="5"/>
      <c r="I8" s="5"/>
      <c r="J8" s="5"/>
      <c r="K8" s="5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</row>
    <row r="9" spans="1:23" x14ac:dyDescent="0.25">
      <c r="A9" s="11" t="s">
        <v>864</v>
      </c>
      <c r="B9" s="5"/>
      <c r="C9" s="5"/>
      <c r="D9" s="5"/>
      <c r="E9" s="5"/>
      <c r="F9" s="5"/>
      <c r="G9" s="5"/>
      <c r="H9" s="5"/>
      <c r="I9" s="5"/>
      <c r="J9" s="5"/>
      <c r="K9" s="5"/>
      <c r="M9" s="149"/>
      <c r="N9" s="149"/>
      <c r="O9" s="149"/>
      <c r="P9" s="149"/>
      <c r="Q9" s="149"/>
      <c r="R9" s="149"/>
      <c r="S9" s="149"/>
      <c r="T9" s="149"/>
      <c r="U9" s="149"/>
      <c r="V9" s="149"/>
      <c r="W9" s="149"/>
    </row>
    <row r="10" spans="1:23" x14ac:dyDescent="0.25">
      <c r="A10" s="11" t="s">
        <v>865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49"/>
      <c r="N10" s="149"/>
      <c r="O10" s="149"/>
      <c r="P10" s="149"/>
      <c r="Q10" s="149"/>
      <c r="R10" s="149"/>
      <c r="S10" s="149"/>
      <c r="T10" s="149"/>
      <c r="U10" s="149"/>
      <c r="V10" s="149"/>
      <c r="W10" s="149"/>
    </row>
    <row r="11" spans="1:23" x14ac:dyDescent="0.25">
      <c r="A11" s="11" t="s">
        <v>355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</row>
    <row r="12" spans="1:23" x14ac:dyDescent="0.25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</row>
    <row r="13" spans="1:23" x14ac:dyDescent="0.25">
      <c r="A13" s="11" t="s">
        <v>866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49"/>
      <c r="N13" s="149"/>
      <c r="O13" s="149"/>
      <c r="P13" s="149"/>
      <c r="Q13" s="149"/>
      <c r="R13" s="149"/>
      <c r="S13" s="149"/>
      <c r="T13" s="149"/>
      <c r="U13" s="149"/>
      <c r="V13" s="149"/>
      <c r="W13" s="149"/>
    </row>
    <row r="14" spans="1:23" x14ac:dyDescent="0.25">
      <c r="A14" s="11" t="s">
        <v>867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49"/>
      <c r="N14" s="149"/>
      <c r="O14" s="149"/>
      <c r="P14" s="149"/>
      <c r="Q14" s="149"/>
      <c r="R14" s="149"/>
      <c r="S14" s="149"/>
      <c r="T14" s="149"/>
      <c r="U14" s="149"/>
      <c r="V14" s="149"/>
      <c r="W14" s="149"/>
    </row>
    <row r="15" spans="1:23" x14ac:dyDescent="0.25">
      <c r="A15" s="11" t="s">
        <v>868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49"/>
      <c r="N15" s="149"/>
      <c r="O15" s="149"/>
      <c r="P15" s="149"/>
      <c r="Q15" s="149"/>
      <c r="R15" s="149"/>
      <c r="S15" s="149"/>
      <c r="T15" s="149"/>
      <c r="U15" s="149"/>
      <c r="V15" s="149"/>
      <c r="W15" s="149"/>
    </row>
    <row r="16" spans="1:23" x14ac:dyDescent="0.25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</row>
    <row r="17" spans="1:23" x14ac:dyDescent="0.25">
      <c r="A17" s="134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</row>
    <row r="18" spans="1:23" x14ac:dyDescent="0.25">
      <c r="A18" s="134"/>
      <c r="B18" s="5"/>
      <c r="C18" s="5"/>
      <c r="D18" s="5"/>
      <c r="E18" s="5"/>
      <c r="F18" s="5"/>
      <c r="G18" s="5"/>
      <c r="H18" s="5"/>
      <c r="I18" s="5"/>
      <c r="J18" s="5"/>
      <c r="K18" s="5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</row>
    <row r="19" spans="1:23" x14ac:dyDescent="0.25">
      <c r="A19" s="11" t="s">
        <v>404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</row>
    <row r="20" spans="1:23" x14ac:dyDescent="0.25">
      <c r="A20" s="11" t="s">
        <v>443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</row>
    <row r="21" spans="1:23" x14ac:dyDescent="0.25">
      <c r="A21" s="11" t="s">
        <v>869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</row>
    <row r="22" spans="1:23" x14ac:dyDescent="0.25">
      <c r="A22" s="11" t="s">
        <v>870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</row>
    <row r="23" spans="1:23" x14ac:dyDescent="0.25">
      <c r="A23" s="11" t="s">
        <v>871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</row>
    <row r="24" spans="1:23" x14ac:dyDescent="0.25">
      <c r="A24" s="11" t="s">
        <v>872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</row>
    <row r="25" spans="1:23" x14ac:dyDescent="0.25">
      <c r="A25" s="11" t="s">
        <v>873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25">
      <c r="A26" s="11" t="s">
        <v>874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25">
      <c r="A27" s="11" t="s">
        <v>875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50" t="s">
        <v>876</v>
      </c>
      <c r="N27" s="150"/>
      <c r="O27" s="150"/>
      <c r="P27" s="150"/>
      <c r="Q27" s="150"/>
      <c r="R27" s="150"/>
      <c r="S27" s="150"/>
      <c r="T27" s="150"/>
      <c r="U27" s="150"/>
      <c r="V27" s="150"/>
      <c r="W27" s="150"/>
    </row>
    <row r="28" spans="1:23" x14ac:dyDescent="0.25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</row>
    <row r="29" spans="1:23" ht="17.25" x14ac:dyDescent="0.3">
      <c r="A29" s="115" t="s">
        <v>877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</row>
    <row r="30" spans="1:23" x14ac:dyDescent="0.25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</row>
    <row r="31" spans="1:23" x14ac:dyDescent="0.25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</row>
    <row r="32" spans="1:23" x14ac:dyDescent="0.25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</row>
    <row r="33" spans="1:23" x14ac:dyDescent="0.25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</row>
    <row r="34" spans="1:23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</row>
    <row r="35" spans="1:2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</row>
    <row r="36" spans="1:2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</row>
    <row r="37" spans="1:2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</row>
    <row r="38" spans="1:2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</row>
    <row r="39" spans="1:2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</row>
    <row r="40" spans="1:2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</row>
    <row r="41" spans="1:23" x14ac:dyDescent="0.25">
      <c r="A41" s="116" t="s">
        <v>878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</row>
    <row r="42" spans="1:2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</row>
    <row r="43" spans="1:23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</row>
    <row r="44" spans="1:23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</row>
    <row r="45" spans="1:23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</row>
    <row r="46" spans="1:23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</row>
    <row r="47" spans="1:23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116" t="s">
        <v>879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116" t="s">
        <v>880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M2:W24"/>
    <mergeCell ref="A4:A5"/>
    <mergeCell ref="A6:A7"/>
    <mergeCell ref="A17:A18"/>
    <mergeCell ref="M27:W46"/>
    <mergeCell ref="A1:K1"/>
    <mergeCell ref="A2:B2"/>
    <mergeCell ref="C2:E2"/>
    <mergeCell ref="F2:G2"/>
    <mergeCell ref="H2:I2"/>
    <mergeCell ref="J2:K2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S394"/>
  <sheetViews>
    <sheetView tabSelected="1" zoomScale="85" zoomScaleNormal="85" workbookViewId="0">
      <pane ySplit="1" topLeftCell="A2" activePane="bottomLeft" state="frozen"/>
      <selection pane="bottomLeft" activeCell="S8" sqref="S8"/>
    </sheetView>
  </sheetViews>
  <sheetFormatPr defaultRowHeight="15" x14ac:dyDescent="0.25"/>
  <cols>
    <col min="1" max="1" width="13.85546875"/>
    <col min="2" max="2" width="45.85546875"/>
    <col min="3" max="3" width="17.140625"/>
    <col min="4" max="4" width="13.7109375"/>
    <col min="5" max="5" width="11.5703125"/>
    <col min="6" max="6" width="4.85546875"/>
    <col min="7" max="7" width="4.140625"/>
    <col min="8" max="8" width="3.42578125"/>
    <col min="9" max="9" width="3.85546875"/>
    <col min="10" max="10" width="4.140625"/>
    <col min="11" max="13" width="4.28515625"/>
    <col min="14" max="1025" width="11.5703125"/>
  </cols>
  <sheetData>
    <row r="1" spans="1:19" ht="67.150000000000006" customHeight="1" x14ac:dyDescent="0.25">
      <c r="A1" s="124" t="s">
        <v>287</v>
      </c>
      <c r="B1" s="123" t="s">
        <v>288</v>
      </c>
      <c r="C1" s="123" t="s">
        <v>289</v>
      </c>
      <c r="D1" s="125" t="s">
        <v>290</v>
      </c>
      <c r="E1" s="131" t="s">
        <v>291</v>
      </c>
      <c r="F1" s="134" t="s">
        <v>292</v>
      </c>
      <c r="G1" s="134"/>
      <c r="H1" s="134"/>
      <c r="I1" s="134"/>
      <c r="J1" s="134"/>
      <c r="K1" s="134"/>
      <c r="L1" s="134"/>
      <c r="M1" s="134"/>
      <c r="N1" s="125" t="s">
        <v>293</v>
      </c>
      <c r="O1" s="134" t="s">
        <v>294</v>
      </c>
      <c r="P1" s="134"/>
      <c r="Q1" s="125" t="s">
        <v>295</v>
      </c>
    </row>
    <row r="2" spans="1:19" ht="19.5" x14ac:dyDescent="0.25">
      <c r="A2" s="151" t="s">
        <v>286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</row>
    <row r="3" spans="1:19" x14ac:dyDescent="0.25">
      <c r="A3" s="13"/>
      <c r="B3" s="41" t="s">
        <v>296</v>
      </c>
      <c r="C3" s="42" t="s">
        <v>297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4"/>
      <c r="O3" s="45">
        <v>0.4</v>
      </c>
      <c r="P3" s="44"/>
      <c r="Q3" s="11"/>
    </row>
    <row r="4" spans="1:19" x14ac:dyDescent="0.25">
      <c r="B4" s="41"/>
      <c r="C4" s="42"/>
      <c r="D4" s="43"/>
      <c r="E4" s="43"/>
      <c r="F4" s="43"/>
      <c r="G4" s="43"/>
      <c r="H4" s="43"/>
      <c r="I4" s="43"/>
      <c r="J4" s="43"/>
      <c r="K4" s="43"/>
      <c r="L4" s="43"/>
      <c r="M4" s="43"/>
      <c r="N4" s="44"/>
      <c r="O4" s="45"/>
      <c r="P4" s="44"/>
      <c r="Q4" s="11"/>
    </row>
    <row r="5" spans="1:19" x14ac:dyDescent="0.25">
      <c r="A5" s="13"/>
      <c r="B5" s="41"/>
      <c r="C5" s="42"/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/>
      <c r="P5" s="44"/>
      <c r="Q5" s="11"/>
    </row>
    <row r="6" spans="1:19" x14ac:dyDescent="0.25">
      <c r="A6" s="13"/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  <c r="S6" s="118"/>
    </row>
    <row r="7" spans="1:19" ht="17.25" x14ac:dyDescent="0.25">
      <c r="A7" s="152" t="s">
        <v>298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</row>
    <row r="8" spans="1:19" x14ac:dyDescent="0.25">
      <c r="A8" s="46" t="s">
        <v>299</v>
      </c>
      <c r="B8" s="41" t="s">
        <v>300</v>
      </c>
      <c r="C8" s="42" t="s">
        <v>297</v>
      </c>
      <c r="D8" s="130">
        <v>5</v>
      </c>
      <c r="E8" s="132">
        <v>4</v>
      </c>
      <c r="F8" s="43"/>
      <c r="G8" s="43"/>
      <c r="H8" s="43"/>
      <c r="I8" s="43"/>
      <c r="J8" s="43"/>
      <c r="K8" s="43"/>
      <c r="L8" s="43"/>
      <c r="M8" s="43"/>
      <c r="N8" s="44">
        <v>45</v>
      </c>
      <c r="O8" s="45">
        <v>0.4</v>
      </c>
      <c r="P8" s="44">
        <f t="shared" ref="P8:P16" si="0">(N8*O8)</f>
        <v>18</v>
      </c>
      <c r="Q8" s="47">
        <f t="shared" ref="Q8:Q16" si="1">(N8-P8)</f>
        <v>27</v>
      </c>
    </row>
    <row r="9" spans="1:19" x14ac:dyDescent="0.25">
      <c r="A9" s="48" t="s">
        <v>301</v>
      </c>
      <c r="B9" s="41" t="s">
        <v>302</v>
      </c>
      <c r="C9" s="42" t="s">
        <v>303</v>
      </c>
      <c r="D9" s="43"/>
      <c r="E9" s="130"/>
      <c r="F9" s="43"/>
      <c r="G9" s="43"/>
      <c r="H9" s="43"/>
      <c r="I9" s="43"/>
      <c r="J9" s="43"/>
      <c r="K9" s="43"/>
      <c r="L9" s="43"/>
      <c r="M9" s="43"/>
      <c r="N9" s="44">
        <v>5.32</v>
      </c>
      <c r="O9" s="45">
        <v>0.5</v>
      </c>
      <c r="P9" s="44">
        <f t="shared" si="0"/>
        <v>2.66</v>
      </c>
      <c r="Q9" s="47">
        <f t="shared" si="1"/>
        <v>2.66</v>
      </c>
    </row>
    <row r="10" spans="1:19" x14ac:dyDescent="0.25">
      <c r="A10" s="48">
        <v>858836</v>
      </c>
      <c r="B10" s="41" t="s">
        <v>304</v>
      </c>
      <c r="C10" s="42" t="s">
        <v>303</v>
      </c>
      <c r="D10" s="43"/>
      <c r="E10" s="130">
        <v>2</v>
      </c>
      <c r="F10" s="43"/>
      <c r="G10" s="43"/>
      <c r="H10" s="43"/>
      <c r="I10" s="43"/>
      <c r="J10" s="43"/>
      <c r="K10" s="43"/>
      <c r="L10" s="43"/>
      <c r="M10" s="43"/>
      <c r="N10" s="44">
        <v>20.329999999999998</v>
      </c>
      <c r="O10" s="45">
        <v>0.5</v>
      </c>
      <c r="P10" s="44">
        <f t="shared" si="0"/>
        <v>10.164999999999999</v>
      </c>
      <c r="Q10" s="47">
        <f t="shared" si="1"/>
        <v>10.164999999999999</v>
      </c>
    </row>
    <row r="11" spans="1:19" x14ac:dyDescent="0.25">
      <c r="A11" s="46" t="s">
        <v>305</v>
      </c>
      <c r="B11" s="41" t="s">
        <v>306</v>
      </c>
      <c r="C11" s="42" t="s">
        <v>297</v>
      </c>
      <c r="D11" s="43">
        <v>3</v>
      </c>
      <c r="E11" s="163">
        <v>1</v>
      </c>
      <c r="F11" s="43"/>
      <c r="G11" s="43"/>
      <c r="H11" s="43"/>
      <c r="I11" s="43"/>
      <c r="J11" s="43"/>
      <c r="K11" s="43"/>
      <c r="L11" s="43"/>
      <c r="M11" s="43"/>
      <c r="N11" s="44">
        <v>160</v>
      </c>
      <c r="O11" s="45">
        <v>0.5</v>
      </c>
      <c r="P11" s="44">
        <f t="shared" si="0"/>
        <v>80</v>
      </c>
      <c r="Q11" s="47">
        <f t="shared" si="1"/>
        <v>80</v>
      </c>
    </row>
    <row r="12" spans="1:19" x14ac:dyDescent="0.25">
      <c r="A12" s="48" t="s">
        <v>307</v>
      </c>
      <c r="B12" s="41" t="s">
        <v>308</v>
      </c>
      <c r="C12" s="42" t="s">
        <v>303</v>
      </c>
      <c r="D12" s="43">
        <v>5</v>
      </c>
      <c r="E12" s="132">
        <v>4</v>
      </c>
      <c r="F12" s="43"/>
      <c r="G12" s="43"/>
      <c r="H12" s="43"/>
      <c r="I12" s="43"/>
      <c r="J12" s="43"/>
      <c r="K12" s="43"/>
      <c r="L12" s="43"/>
      <c r="M12" s="43"/>
      <c r="N12" s="44">
        <v>11.56</v>
      </c>
      <c r="O12" s="45">
        <v>0.5</v>
      </c>
      <c r="P12" s="44">
        <f t="shared" si="0"/>
        <v>5.78</v>
      </c>
      <c r="Q12" s="47">
        <f t="shared" si="1"/>
        <v>5.78</v>
      </c>
      <c r="S12" s="118"/>
    </row>
    <row r="13" spans="1:19" x14ac:dyDescent="0.25">
      <c r="A13" s="48" t="s">
        <v>309</v>
      </c>
      <c r="B13" s="41" t="s">
        <v>310</v>
      </c>
      <c r="C13" s="42" t="s">
        <v>303</v>
      </c>
      <c r="D13" s="43"/>
      <c r="E13" s="130"/>
      <c r="F13" s="43"/>
      <c r="G13" s="43"/>
      <c r="H13" s="43"/>
      <c r="I13" s="43"/>
      <c r="J13" s="43"/>
      <c r="K13" s="43"/>
      <c r="L13" s="43"/>
      <c r="M13" s="43"/>
      <c r="N13" s="44">
        <v>11.56</v>
      </c>
      <c r="O13" s="45">
        <v>0.5</v>
      </c>
      <c r="P13" s="44">
        <f t="shared" si="0"/>
        <v>5.78</v>
      </c>
      <c r="Q13" s="47">
        <f t="shared" si="1"/>
        <v>5.78</v>
      </c>
    </row>
    <row r="14" spans="1:19" x14ac:dyDescent="0.25">
      <c r="A14" s="48">
        <v>8954606</v>
      </c>
      <c r="B14" s="41" t="s">
        <v>311</v>
      </c>
      <c r="C14" s="42" t="s">
        <v>303</v>
      </c>
      <c r="D14" s="43">
        <v>8</v>
      </c>
      <c r="E14" s="132">
        <v>4</v>
      </c>
      <c r="F14" s="43"/>
      <c r="G14" s="43"/>
      <c r="H14" s="43"/>
      <c r="I14" s="43"/>
      <c r="J14" s="43"/>
      <c r="K14" s="43"/>
      <c r="L14" s="43"/>
      <c r="M14" s="43"/>
      <c r="N14" s="44">
        <v>1718.85</v>
      </c>
      <c r="O14" s="45">
        <v>0.5</v>
      </c>
      <c r="P14" s="44">
        <f t="shared" si="0"/>
        <v>859.42499999999995</v>
      </c>
      <c r="Q14" s="47">
        <f t="shared" si="1"/>
        <v>859.42499999999995</v>
      </c>
    </row>
    <row r="15" spans="1:19" x14ac:dyDescent="0.25">
      <c r="A15" s="48" t="s">
        <v>312</v>
      </c>
      <c r="B15" s="41" t="s">
        <v>313</v>
      </c>
      <c r="C15" s="42" t="s">
        <v>303</v>
      </c>
      <c r="D15" s="43"/>
      <c r="E15" s="130"/>
      <c r="F15" s="43"/>
      <c r="G15" s="43"/>
      <c r="H15" s="43"/>
      <c r="I15" s="43"/>
      <c r="J15" s="43"/>
      <c r="K15" s="43"/>
      <c r="L15" s="43"/>
      <c r="M15" s="43"/>
      <c r="N15" s="44">
        <v>625.39</v>
      </c>
      <c r="O15" s="45">
        <v>0.5</v>
      </c>
      <c r="P15" s="44">
        <f t="shared" si="0"/>
        <v>312.69499999999999</v>
      </c>
      <c r="Q15" s="47">
        <f t="shared" si="1"/>
        <v>312.69499999999999</v>
      </c>
    </row>
    <row r="16" spans="1:19" x14ac:dyDescent="0.25">
      <c r="A16" s="48" t="s">
        <v>314</v>
      </c>
      <c r="B16" s="41" t="s">
        <v>315</v>
      </c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7.16</v>
      </c>
      <c r="O16" s="45">
        <v>0.4</v>
      </c>
      <c r="P16" s="44">
        <f t="shared" si="0"/>
        <v>2.8640000000000003</v>
      </c>
      <c r="Q16" s="47">
        <f t="shared" si="1"/>
        <v>4.2959999999999994</v>
      </c>
    </row>
    <row r="17" spans="1:17" x14ac:dyDescent="0.25">
      <c r="A17" s="48"/>
      <c r="B17" s="41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/>
      <c r="O17" s="45"/>
      <c r="P17" s="44"/>
      <c r="Q17" s="47"/>
    </row>
    <row r="18" spans="1:17" x14ac:dyDescent="0.25">
      <c r="A18" s="48"/>
      <c r="B18" s="41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/>
      <c r="O18" s="45"/>
      <c r="P18" s="44"/>
      <c r="Q18" s="49"/>
    </row>
    <row r="19" spans="1:17" x14ac:dyDescent="0.25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9"/>
    </row>
    <row r="20" spans="1:17" ht="17.25" x14ac:dyDescent="0.25">
      <c r="A20" s="152" t="s">
        <v>316</v>
      </c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</row>
    <row r="21" spans="1:17" x14ac:dyDescent="0.25">
      <c r="A21" s="50" t="s">
        <v>317</v>
      </c>
      <c r="B21" s="41" t="s">
        <v>318</v>
      </c>
      <c r="C21" s="42" t="s">
        <v>303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>
        <v>137.59</v>
      </c>
      <c r="O21" s="45">
        <v>0.5</v>
      </c>
      <c r="P21" s="44"/>
      <c r="Q21" s="5"/>
    </row>
    <row r="22" spans="1:17" x14ac:dyDescent="0.25">
      <c r="A22" s="50" t="s">
        <v>319</v>
      </c>
      <c r="B22" s="41" t="s">
        <v>320</v>
      </c>
      <c r="C22" s="42" t="s">
        <v>15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4"/>
      <c r="O22" s="45">
        <v>0.4</v>
      </c>
      <c r="P22" s="44"/>
      <c r="Q22" s="5"/>
    </row>
    <row r="23" spans="1:17" x14ac:dyDescent="0.25">
      <c r="A23" s="50" t="s">
        <v>319</v>
      </c>
      <c r="B23" s="41" t="s">
        <v>321</v>
      </c>
      <c r="C23" s="42" t="s">
        <v>322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/>
      <c r="O23" s="45"/>
      <c r="P23" s="44"/>
      <c r="Q23" s="5"/>
    </row>
    <row r="24" spans="1:17" x14ac:dyDescent="0.25">
      <c r="A24" s="50" t="s">
        <v>319</v>
      </c>
      <c r="B24" s="41" t="s">
        <v>323</v>
      </c>
      <c r="C24" s="42" t="s">
        <v>322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/>
      <c r="P24" s="44"/>
      <c r="Q24" s="5"/>
    </row>
    <row r="25" spans="1:17" x14ac:dyDescent="0.25">
      <c r="A25" s="50" t="s">
        <v>324</v>
      </c>
      <c r="B25" s="41" t="s">
        <v>325</v>
      </c>
      <c r="C25" s="42" t="s">
        <v>303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>
        <v>287.89999999999998</v>
      </c>
      <c r="O25" s="45">
        <v>0.5</v>
      </c>
      <c r="P25" s="44"/>
      <c r="Q25" s="5"/>
    </row>
    <row r="26" spans="1:17" x14ac:dyDescent="0.25">
      <c r="A26" s="50"/>
      <c r="B26" s="41" t="s">
        <v>326</v>
      </c>
      <c r="C26" s="42" t="s">
        <v>303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>
        <v>0.5</v>
      </c>
      <c r="P26" s="44"/>
      <c r="Q26" s="5"/>
    </row>
    <row r="27" spans="1:17" x14ac:dyDescent="0.25">
      <c r="A27" s="50" t="s">
        <v>327</v>
      </c>
      <c r="B27" s="41" t="s">
        <v>328</v>
      </c>
      <c r="C27" s="42" t="s">
        <v>303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443.64</v>
      </c>
      <c r="O27" s="45"/>
      <c r="P27" s="44"/>
      <c r="Q27" s="5"/>
    </row>
    <row r="28" spans="1:17" x14ac:dyDescent="0.25">
      <c r="A28" s="50" t="s">
        <v>329</v>
      </c>
      <c r="B28" s="41" t="s">
        <v>330</v>
      </c>
      <c r="C28" s="42" t="s">
        <v>303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>
        <v>464.06</v>
      </c>
      <c r="O28" s="45">
        <v>0.5</v>
      </c>
      <c r="P28" s="44"/>
      <c r="Q28" s="5"/>
    </row>
    <row r="29" spans="1:17" x14ac:dyDescent="0.25">
      <c r="A29" s="50" t="s">
        <v>319</v>
      </c>
      <c r="B29" s="41" t="s">
        <v>331</v>
      </c>
      <c r="C29" s="42" t="s">
        <v>303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  <c r="O29" s="45">
        <v>0.5</v>
      </c>
      <c r="P29" s="44"/>
      <c r="Q29" s="5"/>
    </row>
    <row r="30" spans="1:17" x14ac:dyDescent="0.25">
      <c r="A30" s="50" t="s">
        <v>319</v>
      </c>
      <c r="B30" s="41" t="s">
        <v>332</v>
      </c>
      <c r="C30" s="42" t="s">
        <v>303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/>
      <c r="O30" s="45">
        <v>0.5</v>
      </c>
      <c r="P30" s="44"/>
      <c r="Q30" s="5"/>
    </row>
    <row r="31" spans="1:17" x14ac:dyDescent="0.25">
      <c r="A31" s="50" t="s">
        <v>333</v>
      </c>
      <c r="B31" s="41" t="s">
        <v>334</v>
      </c>
      <c r="C31" s="42" t="s">
        <v>303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/>
      <c r="P31" s="44"/>
      <c r="Q31" s="5"/>
    </row>
    <row r="32" spans="1:17" x14ac:dyDescent="0.25">
      <c r="A32" s="50"/>
      <c r="B32" s="41" t="s">
        <v>335</v>
      </c>
      <c r="C32" s="42" t="s">
        <v>15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/>
      <c r="P32" s="44"/>
      <c r="Q32" s="5"/>
    </row>
    <row r="33" spans="1:17" x14ac:dyDescent="0.25">
      <c r="A33" s="50" t="s">
        <v>336</v>
      </c>
      <c r="B33" s="41" t="s">
        <v>337</v>
      </c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>
        <v>321.69</v>
      </c>
      <c r="O33" s="45"/>
      <c r="P33" s="44"/>
      <c r="Q33" s="5"/>
    </row>
    <row r="34" spans="1:17" x14ac:dyDescent="0.25">
      <c r="A34" s="50"/>
      <c r="B34" s="41"/>
      <c r="C34" s="42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25">
      <c r="A35" s="50"/>
      <c r="B35" s="41"/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/>
      <c r="O35" s="45"/>
      <c r="P35" s="44"/>
      <c r="Q35" s="5"/>
    </row>
    <row r="36" spans="1:17" ht="17.25" x14ac:dyDescent="0.25">
      <c r="A36" s="152" t="s">
        <v>338</v>
      </c>
      <c r="B36" s="152"/>
      <c r="C36" s="152"/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</row>
    <row r="37" spans="1:17" x14ac:dyDescent="0.25">
      <c r="A37" s="7" t="s">
        <v>319</v>
      </c>
      <c r="B37" s="41" t="s">
        <v>339</v>
      </c>
      <c r="C37" s="42" t="s">
        <v>340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x14ac:dyDescent="0.25">
      <c r="A38" s="7" t="s">
        <v>319</v>
      </c>
      <c r="B38" s="41" t="s">
        <v>341</v>
      </c>
      <c r="C38" s="42" t="s">
        <v>342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  <c r="O38" s="45"/>
      <c r="P38" s="44"/>
      <c r="Q38" s="5"/>
    </row>
    <row r="39" spans="1:17" x14ac:dyDescent="0.25">
      <c r="A39" s="7" t="s">
        <v>319</v>
      </c>
      <c r="B39" s="41" t="s">
        <v>343</v>
      </c>
      <c r="C39" s="42" t="s">
        <v>342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25">
      <c r="A40" s="7" t="s">
        <v>319</v>
      </c>
      <c r="B40" s="41" t="s">
        <v>344</v>
      </c>
      <c r="C40" s="42" t="s">
        <v>340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25">
      <c r="A41" s="50">
        <v>858780</v>
      </c>
      <c r="B41" s="41" t="s">
        <v>345</v>
      </c>
      <c r="C41" s="42" t="s">
        <v>303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>
        <v>9.93</v>
      </c>
      <c r="O41" s="45">
        <v>0.5</v>
      </c>
      <c r="P41" s="44"/>
      <c r="Q41" s="5"/>
    </row>
    <row r="42" spans="1:17" x14ac:dyDescent="0.25">
      <c r="A42" s="50"/>
      <c r="B42" s="41" t="s">
        <v>346</v>
      </c>
      <c r="C42" s="42" t="s">
        <v>303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>
        <v>0.5</v>
      </c>
      <c r="P42" s="44"/>
      <c r="Q42" s="5"/>
    </row>
    <row r="43" spans="1:17" x14ac:dyDescent="0.25">
      <c r="A43" s="50"/>
      <c r="B43" s="41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/>
      <c r="O43" s="45"/>
      <c r="P43" s="44"/>
      <c r="Q43" s="5"/>
    </row>
    <row r="44" spans="1:17" x14ac:dyDescent="0.25">
      <c r="A44" s="50"/>
      <c r="B44" s="41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/>
      <c r="P44" s="44"/>
      <c r="Q44" s="5"/>
    </row>
    <row r="45" spans="1:17" x14ac:dyDescent="0.25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ht="17.25" x14ac:dyDescent="0.25">
      <c r="A46" s="152" t="s">
        <v>347</v>
      </c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</row>
    <row r="47" spans="1:17" x14ac:dyDescent="0.25">
      <c r="A47" s="50" t="s">
        <v>319</v>
      </c>
      <c r="B47" s="41" t="s">
        <v>348</v>
      </c>
      <c r="C47" s="42" t="s">
        <v>303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>
        <v>0.5</v>
      </c>
      <c r="P47" s="44"/>
      <c r="Q47" s="5"/>
    </row>
    <row r="48" spans="1:17" x14ac:dyDescent="0.25">
      <c r="A48" s="50" t="s">
        <v>349</v>
      </c>
      <c r="B48" s="41" t="s">
        <v>350</v>
      </c>
      <c r="C48" s="42" t="s">
        <v>303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4">
        <v>386.84</v>
      </c>
      <c r="O48" s="45">
        <v>0.5</v>
      </c>
      <c r="P48" s="44"/>
      <c r="Q48" s="5"/>
    </row>
    <row r="49" spans="1:17" x14ac:dyDescent="0.25">
      <c r="A49" s="50" t="s">
        <v>351</v>
      </c>
      <c r="B49" s="41" t="s">
        <v>352</v>
      </c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>
        <v>165</v>
      </c>
      <c r="O49" s="45"/>
      <c r="P49" s="44"/>
      <c r="Q49" s="5"/>
    </row>
    <row r="50" spans="1:17" x14ac:dyDescent="0.25">
      <c r="A50" s="50" t="s">
        <v>319</v>
      </c>
      <c r="B50" s="41" t="s">
        <v>353</v>
      </c>
      <c r="C50" s="42" t="s">
        <v>297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/>
      <c r="O50" s="45">
        <v>0.4</v>
      </c>
      <c r="P50" s="44"/>
      <c r="Q50" s="5"/>
    </row>
    <row r="51" spans="1:17" x14ac:dyDescent="0.25">
      <c r="A51" s="50" t="s">
        <v>319</v>
      </c>
      <c r="B51" s="41" t="s">
        <v>354</v>
      </c>
      <c r="C51" s="42" t="s">
        <v>355</v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/>
      <c r="O51" s="45"/>
      <c r="P51" s="44"/>
      <c r="Q51" s="5"/>
    </row>
    <row r="52" spans="1:17" x14ac:dyDescent="0.25">
      <c r="A52" s="50"/>
      <c r="B52" s="41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/>
      <c r="P52" s="44"/>
      <c r="Q52" s="5"/>
    </row>
    <row r="53" spans="1:17" x14ac:dyDescent="0.25">
      <c r="A53" s="50"/>
      <c r="B53" s="41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ht="17.25" x14ac:dyDescent="0.25">
      <c r="A54" s="152" t="s">
        <v>356</v>
      </c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</row>
    <row r="55" spans="1:17" x14ac:dyDescent="0.25">
      <c r="A55" s="51" t="s">
        <v>357</v>
      </c>
      <c r="B55" s="41" t="s">
        <v>358</v>
      </c>
      <c r="C55" s="42" t="s">
        <v>122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x14ac:dyDescent="0.25">
      <c r="A56" s="52" t="s">
        <v>359</v>
      </c>
      <c r="B56" s="41" t="s">
        <v>360</v>
      </c>
      <c r="C56" s="42" t="s">
        <v>122</v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4"/>
      <c r="O56" s="45"/>
      <c r="P56" s="44"/>
      <c r="Q56" s="5"/>
    </row>
    <row r="57" spans="1:17" x14ac:dyDescent="0.25">
      <c r="A57" s="50" t="s">
        <v>361</v>
      </c>
      <c r="B57" s="41" t="s">
        <v>362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>
        <v>780</v>
      </c>
      <c r="O57" s="45"/>
      <c r="P57" s="44"/>
      <c r="Q57" s="5"/>
    </row>
    <row r="58" spans="1:17" x14ac:dyDescent="0.25">
      <c r="A58" s="53" t="s">
        <v>363</v>
      </c>
      <c r="B58" s="41" t="s">
        <v>364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25">
      <c r="A59" s="50"/>
      <c r="B59" s="41" t="s">
        <v>365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/>
      <c r="O59" s="45"/>
      <c r="P59" s="44"/>
      <c r="Q59" s="5"/>
    </row>
    <row r="60" spans="1:17" x14ac:dyDescent="0.25">
      <c r="A60" s="50" t="s">
        <v>366</v>
      </c>
      <c r="B60" s="41" t="s">
        <v>367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>
        <v>64</v>
      </c>
      <c r="O60" s="45"/>
      <c r="P60" s="44"/>
      <c r="Q60" s="5"/>
    </row>
    <row r="61" spans="1:17" x14ac:dyDescent="0.25">
      <c r="A61" s="50"/>
      <c r="B61" s="41" t="s">
        <v>368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25">
      <c r="A62" s="50" t="s">
        <v>369</v>
      </c>
      <c r="B62" s="41" t="s">
        <v>370</v>
      </c>
      <c r="C62" s="42" t="s">
        <v>355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65</v>
      </c>
      <c r="O62" s="45"/>
      <c r="P62" s="44"/>
      <c r="Q62" s="5"/>
    </row>
    <row r="63" spans="1:17" x14ac:dyDescent="0.25">
      <c r="A63" s="50" t="s">
        <v>319</v>
      </c>
      <c r="B63" s="41" t="s">
        <v>371</v>
      </c>
      <c r="C63" s="42" t="s">
        <v>372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25">
      <c r="A64" s="50"/>
      <c r="B64" s="41" t="s">
        <v>373</v>
      </c>
      <c r="C64" s="42" t="s">
        <v>122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/>
      <c r="O64" s="45"/>
      <c r="P64" s="44"/>
      <c r="Q64" s="5"/>
    </row>
    <row r="65" spans="1:17" x14ac:dyDescent="0.25">
      <c r="A65" s="50"/>
      <c r="B65" s="41" t="s">
        <v>374</v>
      </c>
      <c r="C65" s="42" t="s">
        <v>122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25">
      <c r="A66" s="50"/>
      <c r="B66" s="41" t="s">
        <v>375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25">
      <c r="A67" s="50"/>
      <c r="B67" s="41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25">
      <c r="A68" s="50"/>
      <c r="B68" s="41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25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25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ht="17.25" x14ac:dyDescent="0.25">
      <c r="A71" s="152" t="s">
        <v>376</v>
      </c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</row>
    <row r="72" spans="1:17" ht="17.25" x14ac:dyDescent="0.25">
      <c r="A72" s="50" t="s">
        <v>377</v>
      </c>
      <c r="B72" s="41" t="s">
        <v>378</v>
      </c>
      <c r="C72" s="42" t="s">
        <v>303</v>
      </c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>
        <v>660.62</v>
      </c>
      <c r="O72" s="45">
        <v>0.5</v>
      </c>
      <c r="P72" s="44"/>
      <c r="Q72" s="5"/>
    </row>
    <row r="73" spans="1:17" x14ac:dyDescent="0.25">
      <c r="A73" s="50" t="s">
        <v>379</v>
      </c>
      <c r="B73" s="41" t="s">
        <v>380</v>
      </c>
      <c r="C73" s="42" t="s">
        <v>303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4">
        <v>301.73</v>
      </c>
      <c r="O73" s="45">
        <v>0.5</v>
      </c>
      <c r="P73" s="44"/>
      <c r="Q73" s="5"/>
    </row>
    <row r="74" spans="1:17" ht="17.25" x14ac:dyDescent="0.25">
      <c r="A74" s="50"/>
      <c r="B74" s="41" t="s">
        <v>381</v>
      </c>
      <c r="C74" s="42" t="s">
        <v>303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/>
      <c r="O74" s="45">
        <v>0.5</v>
      </c>
      <c r="P74" s="44"/>
      <c r="Q74" s="5"/>
    </row>
    <row r="75" spans="1:17" x14ac:dyDescent="0.25">
      <c r="A75" s="50"/>
      <c r="B75" s="41" t="s">
        <v>382</v>
      </c>
      <c r="C75" s="42" t="s">
        <v>303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/>
      <c r="O75" s="45">
        <v>0.5</v>
      </c>
      <c r="P75" s="44"/>
      <c r="Q75" s="5"/>
    </row>
    <row r="76" spans="1:17" x14ac:dyDescent="0.25">
      <c r="A76" s="54" t="s">
        <v>387</v>
      </c>
      <c r="B76" s="55" t="s">
        <v>388</v>
      </c>
      <c r="C76" s="42" t="s">
        <v>297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>
        <v>36</v>
      </c>
      <c r="O76" s="45">
        <v>0.4</v>
      </c>
      <c r="P76" s="44"/>
      <c r="Q76" s="5"/>
    </row>
    <row r="77" spans="1:17" ht="17.25" x14ac:dyDescent="0.25">
      <c r="A77" s="50">
        <v>897775</v>
      </c>
      <c r="B77" s="41" t="s">
        <v>397</v>
      </c>
      <c r="C77" s="42" t="s">
        <v>303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>
        <v>5.64</v>
      </c>
      <c r="O77" s="45">
        <v>0.5</v>
      </c>
      <c r="P77" s="44"/>
      <c r="Q77" s="5"/>
    </row>
    <row r="78" spans="1:17" ht="18.75" x14ac:dyDescent="0.25">
      <c r="A78" s="153" t="s">
        <v>401</v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</row>
    <row r="79" spans="1:17" x14ac:dyDescent="0.25">
      <c r="A79" s="50" t="s">
        <v>402</v>
      </c>
      <c r="B79" s="41" t="s">
        <v>403</v>
      </c>
      <c r="C79" s="42" t="s">
        <v>404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320</v>
      </c>
      <c r="O79" s="45"/>
      <c r="P79" s="44"/>
      <c r="Q79" s="5"/>
    </row>
    <row r="80" spans="1:17" x14ac:dyDescent="0.25">
      <c r="A80" s="57"/>
      <c r="B80" s="41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4"/>
      <c r="O80" s="45"/>
      <c r="P80" s="44"/>
      <c r="Q80" s="5"/>
    </row>
    <row r="81" spans="1:17" x14ac:dyDescent="0.25">
      <c r="A81" s="57"/>
      <c r="B81" s="41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/>
      <c r="O81" s="45"/>
      <c r="P81" s="44"/>
      <c r="Q81" s="5"/>
    </row>
    <row r="82" spans="1:17" x14ac:dyDescent="0.25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25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ht="17.25" x14ac:dyDescent="0.25">
      <c r="A84" s="152" t="s">
        <v>121</v>
      </c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</row>
    <row r="85" spans="1:17" x14ac:dyDescent="0.25">
      <c r="A85" s="2" t="s">
        <v>319</v>
      </c>
      <c r="B85" s="41" t="s">
        <v>405</v>
      </c>
      <c r="C85" s="42" t="s">
        <v>120</v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58" t="s">
        <v>406</v>
      </c>
      <c r="O85" s="59" t="s">
        <v>406</v>
      </c>
      <c r="P85" s="58" t="s">
        <v>406</v>
      </c>
      <c r="Q85" s="44">
        <v>37.5</v>
      </c>
    </row>
    <row r="86" spans="1:17" x14ac:dyDescent="0.25">
      <c r="A86" s="2" t="s">
        <v>319</v>
      </c>
      <c r="B86" s="41" t="s">
        <v>407</v>
      </c>
      <c r="C86" s="42" t="s">
        <v>120</v>
      </c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58" t="s">
        <v>406</v>
      </c>
      <c r="O86" s="59" t="s">
        <v>406</v>
      </c>
      <c r="P86" s="58" t="s">
        <v>406</v>
      </c>
      <c r="Q86" s="44">
        <v>37.5</v>
      </c>
    </row>
    <row r="87" spans="1:17" x14ac:dyDescent="0.25">
      <c r="A87" s="2" t="s">
        <v>319</v>
      </c>
      <c r="B87" s="41" t="s">
        <v>408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406</v>
      </c>
      <c r="O87" s="59" t="s">
        <v>406</v>
      </c>
      <c r="P87" s="58" t="s">
        <v>406</v>
      </c>
      <c r="Q87" s="44">
        <v>65</v>
      </c>
    </row>
    <row r="88" spans="1:17" x14ac:dyDescent="0.25">
      <c r="A88" s="2" t="s">
        <v>319</v>
      </c>
      <c r="B88" s="41" t="s">
        <v>409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406</v>
      </c>
      <c r="O88" s="59" t="s">
        <v>406</v>
      </c>
      <c r="P88" s="58" t="s">
        <v>406</v>
      </c>
      <c r="Q88" s="44">
        <v>40</v>
      </c>
    </row>
    <row r="89" spans="1:17" x14ac:dyDescent="0.25">
      <c r="A89" s="2" t="s">
        <v>319</v>
      </c>
      <c r="B89" s="41" t="s">
        <v>410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406</v>
      </c>
      <c r="O89" s="59" t="s">
        <v>406</v>
      </c>
      <c r="P89" s="58" t="s">
        <v>406</v>
      </c>
      <c r="Q89" s="44">
        <v>40</v>
      </c>
    </row>
    <row r="90" spans="1:17" x14ac:dyDescent="0.25">
      <c r="A90" s="2" t="s">
        <v>319</v>
      </c>
      <c r="B90" s="41" t="s">
        <v>411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406</v>
      </c>
      <c r="O90" s="59" t="s">
        <v>406</v>
      </c>
      <c r="P90" s="58" t="s">
        <v>406</v>
      </c>
      <c r="Q90" s="44">
        <v>55</v>
      </c>
    </row>
    <row r="91" spans="1:17" x14ac:dyDescent="0.25">
      <c r="A91" s="2" t="s">
        <v>319</v>
      </c>
      <c r="B91" s="41" t="s">
        <v>412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406</v>
      </c>
      <c r="O91" s="59" t="s">
        <v>406</v>
      </c>
      <c r="P91" s="58" t="s">
        <v>406</v>
      </c>
      <c r="Q91" s="44">
        <v>50</v>
      </c>
    </row>
    <row r="92" spans="1:17" x14ac:dyDescent="0.25">
      <c r="A92" s="60" t="s">
        <v>413</v>
      </c>
      <c r="B92" s="41" t="s">
        <v>414</v>
      </c>
      <c r="C92" s="42" t="s">
        <v>297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>
        <v>250</v>
      </c>
      <c r="O92" s="59"/>
      <c r="P92" s="58"/>
      <c r="Q92" s="44"/>
    </row>
    <row r="93" spans="1:17" x14ac:dyDescent="0.25">
      <c r="A93" s="2" t="s">
        <v>319</v>
      </c>
      <c r="B93" s="41" t="s">
        <v>415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406</v>
      </c>
      <c r="O93" s="59" t="s">
        <v>406</v>
      </c>
      <c r="P93" s="58" t="s">
        <v>406</v>
      </c>
      <c r="Q93" s="44">
        <v>80</v>
      </c>
    </row>
    <row r="94" spans="1:17" x14ac:dyDescent="0.25">
      <c r="A94" s="61" t="s">
        <v>416</v>
      </c>
      <c r="B94" s="41" t="s">
        <v>417</v>
      </c>
      <c r="C94" s="42" t="s">
        <v>297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4">
        <v>580</v>
      </c>
      <c r="O94" s="45">
        <v>0.4</v>
      </c>
      <c r="P94" s="44"/>
      <c r="Q94" s="44"/>
    </row>
    <row r="95" spans="1:17" x14ac:dyDescent="0.25">
      <c r="A95" s="5"/>
      <c r="B95" s="41" t="s">
        <v>418</v>
      </c>
      <c r="C95" s="42" t="s">
        <v>303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4"/>
      <c r="O95" s="45">
        <v>0.5</v>
      </c>
      <c r="P95" s="44"/>
      <c r="Q95" s="44"/>
    </row>
    <row r="96" spans="1:17" x14ac:dyDescent="0.25">
      <c r="A96" s="5"/>
      <c r="B96" s="41"/>
      <c r="C96" s="42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/>
      <c r="O96" s="45"/>
      <c r="P96" s="44"/>
      <c r="Q96" s="44"/>
    </row>
    <row r="97" spans="1:17" x14ac:dyDescent="0.25">
      <c r="A97" s="5"/>
      <c r="B97" s="41"/>
      <c r="C97" s="42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/>
      <c r="P97" s="44"/>
      <c r="Q97" s="44"/>
    </row>
    <row r="98" spans="1:17" x14ac:dyDescent="0.25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ht="17.25" x14ac:dyDescent="0.25">
      <c r="A99" s="152" t="s">
        <v>419</v>
      </c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</row>
    <row r="100" spans="1:17" x14ac:dyDescent="0.25">
      <c r="A100" s="50"/>
      <c r="B100" s="41" t="s">
        <v>420</v>
      </c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5"/>
    </row>
    <row r="101" spans="1:17" x14ac:dyDescent="0.25">
      <c r="A101" s="50"/>
      <c r="B101" s="41" t="s">
        <v>421</v>
      </c>
      <c r="C101" s="42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4"/>
      <c r="O101" s="45"/>
      <c r="P101" s="44"/>
      <c r="Q101" s="5"/>
    </row>
    <row r="102" spans="1:17" x14ac:dyDescent="0.25">
      <c r="A102" s="50"/>
      <c r="B102" s="41" t="s">
        <v>422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25">
      <c r="A103" s="50">
        <v>8587315</v>
      </c>
      <c r="B103" s="41" t="s">
        <v>423</v>
      </c>
      <c r="C103" s="42" t="s">
        <v>303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>
        <v>194.01</v>
      </c>
      <c r="O103" s="45"/>
      <c r="P103" s="44"/>
      <c r="Q103" s="5"/>
    </row>
    <row r="104" spans="1:17" x14ac:dyDescent="0.25">
      <c r="A104" s="50" t="s">
        <v>424</v>
      </c>
      <c r="B104" s="41" t="s">
        <v>425</v>
      </c>
      <c r="C104" s="42" t="s">
        <v>303</v>
      </c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>
        <v>118.58</v>
      </c>
      <c r="O104" s="45"/>
      <c r="P104" s="44"/>
      <c r="Q104" s="5"/>
    </row>
    <row r="105" spans="1:17" ht="17.25" x14ac:dyDescent="0.25">
      <c r="A105" s="154" t="s">
        <v>426</v>
      </c>
      <c r="B105" s="154"/>
      <c r="C105" s="154"/>
      <c r="D105" s="154"/>
      <c r="E105" s="154"/>
      <c r="F105" s="154"/>
      <c r="G105" s="154"/>
      <c r="H105" s="154"/>
      <c r="I105" s="154"/>
      <c r="J105" s="154"/>
      <c r="K105" s="154"/>
      <c r="L105" s="154"/>
      <c r="M105" s="154"/>
      <c r="N105" s="154"/>
      <c r="O105" s="154"/>
      <c r="P105" s="154"/>
      <c r="Q105" s="154"/>
    </row>
    <row r="106" spans="1:17" x14ac:dyDescent="0.25">
      <c r="A106" s="50" t="s">
        <v>427</v>
      </c>
      <c r="B106" s="62" t="s">
        <v>428</v>
      </c>
      <c r="C106" s="42" t="s">
        <v>303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/>
      <c r="O106" s="45">
        <v>0.5</v>
      </c>
      <c r="P106" s="44"/>
      <c r="Q106" s="5"/>
    </row>
    <row r="107" spans="1:17" x14ac:dyDescent="0.25">
      <c r="A107" s="50" t="s">
        <v>429</v>
      </c>
      <c r="B107" s="62" t="s">
        <v>430</v>
      </c>
      <c r="C107" s="42" t="s">
        <v>303</v>
      </c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4"/>
      <c r="O107" s="45">
        <v>0.5</v>
      </c>
      <c r="P107" s="44"/>
      <c r="Q107" s="5"/>
    </row>
    <row r="108" spans="1:17" x14ac:dyDescent="0.25">
      <c r="A108" s="50"/>
      <c r="B108" s="62"/>
      <c r="C108" s="42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/>
      <c r="P108" s="44"/>
      <c r="Q108" s="5"/>
    </row>
    <row r="109" spans="1:17" ht="18.75" x14ac:dyDescent="0.25">
      <c r="A109" s="155" t="s">
        <v>431</v>
      </c>
      <c r="B109" s="155"/>
      <c r="C109" s="155"/>
      <c r="D109" s="155"/>
      <c r="E109" s="155"/>
      <c r="F109" s="155"/>
      <c r="G109" s="155"/>
      <c r="H109" s="155"/>
      <c r="I109" s="155"/>
      <c r="J109" s="155"/>
      <c r="K109" s="155"/>
      <c r="L109" s="155"/>
      <c r="M109" s="155"/>
      <c r="N109" s="155"/>
      <c r="O109" s="155"/>
      <c r="P109" s="155"/>
      <c r="Q109" s="155"/>
    </row>
    <row r="110" spans="1:17" x14ac:dyDescent="0.25">
      <c r="A110" s="156" t="s">
        <v>636</v>
      </c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</row>
    <row r="111" spans="1:17" x14ac:dyDescent="0.25">
      <c r="A111" s="7" t="s">
        <v>319</v>
      </c>
      <c r="B111" s="64" t="s">
        <v>637</v>
      </c>
      <c r="C111" s="42" t="s">
        <v>15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8" t="s">
        <v>406</v>
      </c>
      <c r="O111" s="45"/>
      <c r="P111" s="58" t="s">
        <v>406</v>
      </c>
      <c r="Q111" s="44">
        <v>0.15</v>
      </c>
    </row>
    <row r="112" spans="1:17" x14ac:dyDescent="0.25">
      <c r="A112" s="7" t="s">
        <v>319</v>
      </c>
      <c r="B112" s="64" t="s">
        <v>638</v>
      </c>
      <c r="C112" s="42" t="s">
        <v>15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8" t="s">
        <v>406</v>
      </c>
      <c r="O112" s="45"/>
      <c r="P112" s="58" t="s">
        <v>406</v>
      </c>
      <c r="Q112" s="44">
        <v>0.05</v>
      </c>
    </row>
    <row r="113" spans="1:17" x14ac:dyDescent="0.25">
      <c r="A113" s="7" t="s">
        <v>319</v>
      </c>
      <c r="B113" s="64" t="s">
        <v>639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406</v>
      </c>
      <c r="O113" s="45">
        <v>0.4</v>
      </c>
      <c r="P113" s="58" t="s">
        <v>406</v>
      </c>
      <c r="Q113" s="44">
        <v>7</v>
      </c>
    </row>
    <row r="114" spans="1:17" x14ac:dyDescent="0.25">
      <c r="A114" s="7" t="s">
        <v>319</v>
      </c>
      <c r="B114" s="64" t="s">
        <v>640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406</v>
      </c>
      <c r="O114" s="45">
        <v>0.4</v>
      </c>
      <c r="P114" s="58" t="s">
        <v>406</v>
      </c>
      <c r="Q114" s="44">
        <v>5</v>
      </c>
    </row>
    <row r="115" spans="1:17" x14ac:dyDescent="0.25">
      <c r="A115" s="7" t="s">
        <v>319</v>
      </c>
      <c r="B115" s="64" t="s">
        <v>641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406</v>
      </c>
      <c r="O115" s="45">
        <v>0.4</v>
      </c>
      <c r="P115" s="58" t="s">
        <v>406</v>
      </c>
      <c r="Q115" s="44">
        <v>0.5</v>
      </c>
    </row>
    <row r="116" spans="1:17" x14ac:dyDescent="0.25">
      <c r="A116" s="7" t="s">
        <v>319</v>
      </c>
      <c r="B116" s="64" t="s">
        <v>642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406</v>
      </c>
      <c r="O116" s="45">
        <v>0.4</v>
      </c>
      <c r="P116" s="58" t="s">
        <v>406</v>
      </c>
      <c r="Q116" s="44">
        <v>5</v>
      </c>
    </row>
    <row r="117" spans="1:17" x14ac:dyDescent="0.25">
      <c r="A117" s="7" t="s">
        <v>319</v>
      </c>
      <c r="B117" s="64" t="s">
        <v>643</v>
      </c>
      <c r="C117" s="42" t="s">
        <v>644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44"/>
      <c r="O117" s="45"/>
      <c r="P117" s="44"/>
      <c r="Q117" s="5"/>
    </row>
    <row r="118" spans="1:17" x14ac:dyDescent="0.25">
      <c r="A118" s="7" t="s">
        <v>319</v>
      </c>
      <c r="B118" s="64" t="s">
        <v>645</v>
      </c>
      <c r="C118" s="42" t="s">
        <v>644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44"/>
      <c r="O118" s="45"/>
      <c r="P118" s="44"/>
      <c r="Q118" s="5"/>
    </row>
    <row r="119" spans="1:17" ht="13.9" customHeight="1" x14ac:dyDescent="0.25">
      <c r="A119" s="84" t="s">
        <v>599</v>
      </c>
      <c r="B119" s="55" t="s">
        <v>600</v>
      </c>
      <c r="C119" s="42"/>
      <c r="D119" s="157" t="s">
        <v>601</v>
      </c>
      <c r="E119" s="133"/>
      <c r="F119" s="5"/>
      <c r="G119" s="5"/>
      <c r="H119" s="5"/>
      <c r="I119" s="5"/>
      <c r="J119" s="5"/>
      <c r="K119" s="5"/>
      <c r="L119" s="5"/>
      <c r="M119" s="5"/>
      <c r="N119" s="44">
        <v>3.8</v>
      </c>
      <c r="O119" s="45"/>
      <c r="P119" s="44"/>
      <c r="Q119" s="5"/>
    </row>
    <row r="120" spans="1:17" x14ac:dyDescent="0.25">
      <c r="A120" s="84"/>
      <c r="B120" s="55" t="s">
        <v>602</v>
      </c>
      <c r="C120" s="42"/>
      <c r="D120" s="157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x14ac:dyDescent="0.25">
      <c r="A121" s="84"/>
      <c r="B121" s="55" t="s">
        <v>603</v>
      </c>
      <c r="C121" s="42"/>
      <c r="D121" s="157"/>
      <c r="E121" s="5"/>
      <c r="F121" s="5"/>
      <c r="G121" s="5"/>
      <c r="H121" s="5"/>
      <c r="I121" s="5"/>
      <c r="J121" s="5"/>
      <c r="K121" s="5"/>
      <c r="L121" s="5"/>
      <c r="M121" s="5"/>
      <c r="N121" s="44"/>
      <c r="O121" s="45"/>
      <c r="P121" s="44"/>
      <c r="Q121" s="5"/>
    </row>
    <row r="122" spans="1:17" x14ac:dyDescent="0.25">
      <c r="A122" s="84"/>
      <c r="B122" s="55" t="s">
        <v>604</v>
      </c>
      <c r="C122" s="42"/>
      <c r="D122" s="157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25">
      <c r="A123" s="68"/>
      <c r="B123" s="55" t="s">
        <v>881</v>
      </c>
      <c r="C123" s="4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25">
      <c r="A124" s="68"/>
      <c r="B124" s="55" t="s">
        <v>882</v>
      </c>
      <c r="C124" s="4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25">
      <c r="A125" s="84" t="s">
        <v>616</v>
      </c>
      <c r="B125" s="55" t="s">
        <v>617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>
        <v>1.1599999999999999</v>
      </c>
      <c r="O125" s="45"/>
      <c r="P125" s="44"/>
      <c r="Q125" s="5"/>
    </row>
    <row r="126" spans="1:17" x14ac:dyDescent="0.25">
      <c r="A126" s="84"/>
      <c r="B126" s="55" t="s">
        <v>618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25">
      <c r="A127" s="68"/>
      <c r="B127" s="55" t="s">
        <v>883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/>
      <c r="O127" s="45"/>
      <c r="P127" s="44"/>
      <c r="Q127" s="5"/>
    </row>
    <row r="128" spans="1:17" x14ac:dyDescent="0.25">
      <c r="A128" s="68"/>
      <c r="B128" s="55" t="s">
        <v>884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ht="16.5" x14ac:dyDescent="0.25">
      <c r="A129" s="158" t="s">
        <v>581</v>
      </c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</row>
    <row r="130" spans="1:17" ht="13.9" customHeight="1" x14ac:dyDescent="0.25">
      <c r="A130" s="84" t="s">
        <v>582</v>
      </c>
      <c r="B130" s="55" t="s">
        <v>583</v>
      </c>
      <c r="C130" s="42" t="s">
        <v>303</v>
      </c>
      <c r="D130" s="157" t="s">
        <v>584</v>
      </c>
      <c r="E130" s="133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x14ac:dyDescent="0.25">
      <c r="A131" s="84"/>
      <c r="B131" s="55" t="s">
        <v>585</v>
      </c>
      <c r="C131" s="42" t="s">
        <v>303</v>
      </c>
      <c r="D131" s="157"/>
      <c r="E131" s="5"/>
      <c r="F131" s="5"/>
      <c r="G131" s="5"/>
      <c r="H131" s="5"/>
      <c r="I131" s="5"/>
      <c r="J131" s="5"/>
      <c r="K131" s="5"/>
      <c r="L131" s="5"/>
      <c r="M131" s="5"/>
      <c r="N131" s="44"/>
      <c r="O131" s="45"/>
      <c r="P131" s="44"/>
      <c r="Q131" s="5"/>
    </row>
    <row r="132" spans="1:17" x14ac:dyDescent="0.25">
      <c r="A132" s="84"/>
      <c r="B132" s="55" t="s">
        <v>586</v>
      </c>
      <c r="C132" s="42" t="s">
        <v>303</v>
      </c>
      <c r="D132" s="157"/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ht="13.9" customHeight="1" x14ac:dyDescent="0.25">
      <c r="A133" s="84"/>
      <c r="B133" s="55" t="s">
        <v>587</v>
      </c>
      <c r="C133" s="42" t="s">
        <v>303</v>
      </c>
      <c r="D133" s="157" t="s">
        <v>588</v>
      </c>
      <c r="E133" s="133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25">
      <c r="A134" s="85"/>
      <c r="B134" s="50" t="s">
        <v>589</v>
      </c>
      <c r="C134" s="5"/>
      <c r="D134" s="157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x14ac:dyDescent="0.25">
      <c r="A135" s="84"/>
      <c r="B135" s="55" t="s">
        <v>590</v>
      </c>
      <c r="C135" s="42"/>
      <c r="D135" s="157"/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25">
      <c r="A136" s="84"/>
      <c r="B136" s="55" t="s">
        <v>591</v>
      </c>
      <c r="C136" s="42"/>
      <c r="D136" s="157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25">
      <c r="A137" s="84"/>
      <c r="B137" s="55" t="s">
        <v>592</v>
      </c>
      <c r="C137" s="42"/>
      <c r="D137" s="157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25">
      <c r="A138" s="84"/>
      <c r="B138" s="55" t="s">
        <v>593</v>
      </c>
      <c r="C138" s="42"/>
      <c r="D138" s="157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25">
      <c r="A139" s="79">
        <v>858718</v>
      </c>
      <c r="B139" s="55" t="s">
        <v>566</v>
      </c>
      <c r="C139" s="42" t="s">
        <v>303</v>
      </c>
      <c r="D139" s="157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ht="13.9" customHeight="1" x14ac:dyDescent="0.25">
      <c r="A140" s="84"/>
      <c r="B140" s="55" t="s">
        <v>594</v>
      </c>
      <c r="C140" s="42"/>
      <c r="D140" s="157" t="s">
        <v>595</v>
      </c>
      <c r="E140" s="133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25">
      <c r="A141" s="84"/>
      <c r="B141" s="55" t="s">
        <v>596</v>
      </c>
      <c r="C141" s="42"/>
      <c r="D141" s="157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x14ac:dyDescent="0.25">
      <c r="A142" s="84"/>
      <c r="B142" s="55" t="s">
        <v>597</v>
      </c>
      <c r="C142" s="42"/>
      <c r="D142" s="157"/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25">
      <c r="A143" s="84"/>
      <c r="B143" s="55" t="s">
        <v>598</v>
      </c>
      <c r="C143" s="42"/>
      <c r="D143" s="157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25">
      <c r="A144" s="84"/>
      <c r="B144" s="55" t="s">
        <v>885</v>
      </c>
      <c r="C144" s="42"/>
      <c r="D144" s="157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25">
      <c r="A145" s="84">
        <v>857071</v>
      </c>
      <c r="B145" s="55" t="s">
        <v>605</v>
      </c>
      <c r="C145" s="42"/>
      <c r="D145" s="60" t="s">
        <v>886</v>
      </c>
      <c r="E145" s="133"/>
      <c r="F145" s="5"/>
      <c r="G145" s="5"/>
      <c r="H145" s="5"/>
      <c r="I145" s="5"/>
      <c r="J145" s="5"/>
      <c r="K145" s="5"/>
      <c r="L145" s="5"/>
      <c r="M145" s="5"/>
      <c r="N145" s="44">
        <v>5.64</v>
      </c>
      <c r="O145" s="45"/>
      <c r="P145" s="44"/>
      <c r="Q145" s="5"/>
    </row>
    <row r="146" spans="1:17" x14ac:dyDescent="0.25">
      <c r="A146" s="84"/>
      <c r="B146" s="55" t="s">
        <v>887</v>
      </c>
      <c r="C146" s="42"/>
      <c r="D146" s="60" t="s">
        <v>888</v>
      </c>
      <c r="E146" s="133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25">
      <c r="A147" s="84" t="s">
        <v>610</v>
      </c>
      <c r="B147" s="55" t="s">
        <v>611</v>
      </c>
      <c r="C147" s="42"/>
      <c r="D147" s="140" t="s">
        <v>612</v>
      </c>
      <c r="E147" s="133"/>
      <c r="F147" s="5"/>
      <c r="G147" s="5"/>
      <c r="H147" s="5"/>
      <c r="I147" s="5"/>
      <c r="J147" s="5"/>
      <c r="K147" s="5"/>
      <c r="L147" s="5"/>
      <c r="M147" s="5"/>
      <c r="N147" s="44">
        <v>3.17</v>
      </c>
      <c r="O147" s="45"/>
      <c r="P147" s="44"/>
      <c r="Q147" s="5"/>
    </row>
    <row r="148" spans="1:17" x14ac:dyDescent="0.25">
      <c r="A148" s="84"/>
      <c r="B148" s="55" t="s">
        <v>613</v>
      </c>
      <c r="C148" s="42"/>
      <c r="D148" s="140"/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25">
      <c r="A149" s="84"/>
      <c r="B149" s="55" t="s">
        <v>619</v>
      </c>
      <c r="C149" s="42"/>
      <c r="D149" s="140" t="s">
        <v>889</v>
      </c>
      <c r="E149" s="133"/>
      <c r="F149" s="5"/>
      <c r="G149" s="5"/>
      <c r="H149" s="5"/>
      <c r="I149" s="5"/>
      <c r="J149" s="5"/>
      <c r="K149" s="5"/>
      <c r="L149" s="5"/>
      <c r="M149" s="5"/>
      <c r="N149" s="44"/>
      <c r="O149" s="45"/>
      <c r="P149" s="44"/>
      <c r="Q149" s="5"/>
    </row>
    <row r="150" spans="1:17" x14ac:dyDescent="0.25">
      <c r="A150" s="84"/>
      <c r="B150" s="55" t="s">
        <v>620</v>
      </c>
      <c r="C150" s="42"/>
      <c r="D150" s="140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25">
      <c r="A151" s="84"/>
      <c r="B151" s="55" t="s">
        <v>890</v>
      </c>
      <c r="C151" s="42"/>
      <c r="D151" s="140"/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25">
      <c r="A152" s="84"/>
      <c r="B152" s="55" t="s">
        <v>621</v>
      </c>
      <c r="C152" s="42"/>
      <c r="D152" s="60" t="s">
        <v>891</v>
      </c>
      <c r="E152" s="133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25">
      <c r="A153" s="84"/>
      <c r="B153" s="55" t="s">
        <v>622</v>
      </c>
      <c r="C153" s="42"/>
      <c r="D153" s="140" t="s">
        <v>892</v>
      </c>
      <c r="E153" s="133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25">
      <c r="A154" s="84"/>
      <c r="B154" s="55" t="s">
        <v>623</v>
      </c>
      <c r="C154" s="42"/>
      <c r="D154" s="140"/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25">
      <c r="A155" s="5" t="s">
        <v>664</v>
      </c>
      <c r="B155" s="64" t="s">
        <v>624</v>
      </c>
      <c r="C155" s="42" t="s">
        <v>303</v>
      </c>
      <c r="D155" s="140" t="s">
        <v>893</v>
      </c>
      <c r="E155" s="133"/>
      <c r="F155" s="5"/>
      <c r="G155" s="5"/>
      <c r="H155" s="5"/>
      <c r="I155" s="5"/>
      <c r="J155" s="5"/>
      <c r="K155" s="5"/>
      <c r="L155" s="5"/>
      <c r="M155" s="5"/>
      <c r="N155" s="44">
        <v>3.78</v>
      </c>
      <c r="O155" s="45"/>
      <c r="P155" s="44"/>
      <c r="Q155" s="5"/>
    </row>
    <row r="156" spans="1:17" x14ac:dyDescent="0.25">
      <c r="A156" s="84"/>
      <c r="B156" s="55" t="s">
        <v>625</v>
      </c>
      <c r="C156" s="42"/>
      <c r="D156" s="140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25">
      <c r="A157" s="84"/>
      <c r="B157" s="55" t="s">
        <v>626</v>
      </c>
      <c r="C157" s="42"/>
      <c r="D157" s="140" t="s">
        <v>894</v>
      </c>
      <c r="E157" s="133"/>
      <c r="F157" s="5"/>
      <c r="G157" s="5"/>
      <c r="H157" s="5"/>
      <c r="I157" s="5"/>
      <c r="J157" s="5"/>
      <c r="K157" s="5"/>
      <c r="L157" s="5"/>
      <c r="M157" s="5"/>
      <c r="N157" s="44"/>
      <c r="O157" s="45"/>
      <c r="P157" s="44"/>
      <c r="Q157" s="5"/>
    </row>
    <row r="158" spans="1:17" x14ac:dyDescent="0.25">
      <c r="A158" s="84"/>
      <c r="B158" s="55" t="s">
        <v>627</v>
      </c>
      <c r="C158" s="42"/>
      <c r="D158" s="140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25">
      <c r="A159" s="84"/>
      <c r="B159" s="55" t="s">
        <v>628</v>
      </c>
      <c r="C159" s="42"/>
      <c r="D159" s="60"/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25">
      <c r="A160" s="84"/>
      <c r="B160" s="55" t="s">
        <v>629</v>
      </c>
      <c r="C160" s="42"/>
      <c r="D160" s="60" t="s">
        <v>630</v>
      </c>
      <c r="E160" s="133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ht="13.9" customHeight="1" x14ac:dyDescent="0.25">
      <c r="A161" s="84"/>
      <c r="B161" s="55" t="s">
        <v>631</v>
      </c>
      <c r="C161" s="42"/>
      <c r="D161" s="157" t="s">
        <v>895</v>
      </c>
      <c r="E161" s="133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25">
      <c r="A162" s="84"/>
      <c r="B162" s="55" t="s">
        <v>632</v>
      </c>
      <c r="C162" s="42"/>
      <c r="D162" s="157"/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x14ac:dyDescent="0.25">
      <c r="A163" s="84"/>
      <c r="B163" t="s">
        <v>896</v>
      </c>
      <c r="C163" s="42"/>
      <c r="D163" s="60" t="s">
        <v>897</v>
      </c>
      <c r="E163" s="133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25">
      <c r="A164" s="84"/>
      <c r="B164" s="55" t="s">
        <v>898</v>
      </c>
      <c r="C164" s="42"/>
      <c r="D164" s="140" t="s">
        <v>899</v>
      </c>
      <c r="E164" s="133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25">
      <c r="A165" s="84"/>
      <c r="B165" s="55" t="s">
        <v>900</v>
      </c>
      <c r="C165" s="42"/>
      <c r="D165" s="140"/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25">
      <c r="A166" s="84" t="s">
        <v>608</v>
      </c>
      <c r="B166" s="55" t="s">
        <v>609</v>
      </c>
      <c r="C166" s="42"/>
      <c r="D166" s="140"/>
      <c r="E166" s="5"/>
      <c r="F166" s="5"/>
      <c r="G166" s="5"/>
      <c r="H166" s="5"/>
      <c r="I166" s="5"/>
      <c r="J166" s="5"/>
      <c r="K166" s="5"/>
      <c r="L166" s="5"/>
      <c r="M166" s="5"/>
      <c r="N166" s="44">
        <v>4.58</v>
      </c>
      <c r="O166" s="45"/>
      <c r="P166" s="44"/>
      <c r="Q166" s="5"/>
    </row>
    <row r="167" spans="1:17" x14ac:dyDescent="0.25">
      <c r="A167" s="84" t="s">
        <v>606</v>
      </c>
      <c r="B167" s="55" t="s">
        <v>607</v>
      </c>
      <c r="C167" s="42"/>
      <c r="D167" s="140"/>
      <c r="E167" s="5"/>
      <c r="F167" s="5"/>
      <c r="G167" s="5"/>
      <c r="H167" s="5"/>
      <c r="I167" s="5"/>
      <c r="J167" s="5"/>
      <c r="K167" s="5"/>
      <c r="L167" s="5"/>
      <c r="M167" s="5"/>
      <c r="N167" s="44">
        <v>2.44</v>
      </c>
      <c r="O167" s="45"/>
      <c r="P167" s="44"/>
      <c r="Q167" s="5"/>
    </row>
    <row r="168" spans="1:17" x14ac:dyDescent="0.25">
      <c r="A168" s="84"/>
      <c r="B168" s="55" t="s">
        <v>901</v>
      </c>
      <c r="C168" s="42"/>
      <c r="D168" s="60" t="s">
        <v>356</v>
      </c>
      <c r="E168" s="133"/>
      <c r="F168" s="5"/>
      <c r="G168" s="5"/>
      <c r="H168" s="5"/>
      <c r="I168" s="5"/>
      <c r="J168" s="5"/>
      <c r="K168" s="5"/>
      <c r="L168" s="5"/>
      <c r="M168" s="5"/>
      <c r="N168" s="44"/>
      <c r="O168" s="45"/>
      <c r="P168" s="44"/>
      <c r="Q168" s="5"/>
    </row>
    <row r="169" spans="1:17" x14ac:dyDescent="0.25">
      <c r="A169" s="84"/>
      <c r="B169" s="55" t="s">
        <v>902</v>
      </c>
      <c r="C169" s="42"/>
      <c r="D169" s="60" t="s">
        <v>446</v>
      </c>
      <c r="E169" s="133"/>
      <c r="F169" s="5"/>
      <c r="G169" s="5"/>
      <c r="H169" s="5"/>
      <c r="I169" s="5"/>
      <c r="J169" s="5"/>
      <c r="K169" s="5"/>
      <c r="L169" s="5"/>
      <c r="M169" s="5"/>
      <c r="N169" s="44"/>
      <c r="O169" s="45"/>
      <c r="P169" s="44"/>
      <c r="Q169" s="5"/>
    </row>
    <row r="170" spans="1:17" ht="16.5" x14ac:dyDescent="0.25">
      <c r="A170" s="158" t="s">
        <v>646</v>
      </c>
      <c r="B170" s="158"/>
      <c r="C170" s="158"/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</row>
    <row r="171" spans="1:17" x14ac:dyDescent="0.25">
      <c r="A171" s="68"/>
      <c r="B171" s="55" t="s">
        <v>647</v>
      </c>
      <c r="C171" s="42" t="s">
        <v>303</v>
      </c>
      <c r="D171" s="5">
        <v>20</v>
      </c>
      <c r="E171" s="133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x14ac:dyDescent="0.25">
      <c r="A172" s="68"/>
      <c r="B172" s="55" t="s">
        <v>648</v>
      </c>
      <c r="C172" s="42" t="s">
        <v>303</v>
      </c>
      <c r="D172" s="5">
        <v>0</v>
      </c>
      <c r="E172" s="5"/>
      <c r="F172" s="5"/>
      <c r="G172" s="5"/>
      <c r="H172" s="5"/>
      <c r="I172" s="5"/>
      <c r="J172" s="5"/>
      <c r="K172" s="5"/>
      <c r="L172" s="5"/>
      <c r="M172" s="5"/>
      <c r="N172" s="44"/>
      <c r="O172" s="45"/>
      <c r="P172" s="44"/>
      <c r="Q172" s="5"/>
    </row>
    <row r="173" spans="1:17" x14ac:dyDescent="0.25">
      <c r="A173" s="68"/>
      <c r="B173" s="55" t="s">
        <v>649</v>
      </c>
      <c r="C173" s="42" t="s">
        <v>303</v>
      </c>
      <c r="D173" s="5">
        <v>20</v>
      </c>
      <c r="E173" s="133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25">
      <c r="A174" s="68"/>
      <c r="B174" s="55" t="s">
        <v>650</v>
      </c>
      <c r="C174" s="42" t="s">
        <v>303</v>
      </c>
      <c r="D174" s="5">
        <v>8</v>
      </c>
      <c r="E174" s="133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25">
      <c r="A175" s="68"/>
      <c r="B175" s="55" t="s">
        <v>651</v>
      </c>
      <c r="C175" s="42" t="s">
        <v>303</v>
      </c>
      <c r="D175" s="5">
        <v>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25">
      <c r="A176" s="68"/>
      <c r="B176" s="55" t="s">
        <v>652</v>
      </c>
      <c r="C176" s="42" t="s">
        <v>303</v>
      </c>
      <c r="D176" s="5">
        <v>2</v>
      </c>
      <c r="E176" s="133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25">
      <c r="A177" s="68"/>
      <c r="B177" s="55" t="s">
        <v>653</v>
      </c>
      <c r="C177" s="42" t="s">
        <v>303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25">
      <c r="A178" s="68"/>
      <c r="B178" s="55" t="s">
        <v>654</v>
      </c>
      <c r="C178" s="42"/>
      <c r="D178" s="5">
        <v>10</v>
      </c>
      <c r="E178" s="133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25">
      <c r="A179" s="68"/>
      <c r="B179" s="55" t="s">
        <v>655</v>
      </c>
      <c r="C179" s="42" t="s">
        <v>303</v>
      </c>
      <c r="D179" s="5">
        <v>2</v>
      </c>
      <c r="E179" s="133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25">
      <c r="A180" s="68" t="s">
        <v>319</v>
      </c>
      <c r="B180" s="55" t="s">
        <v>656</v>
      </c>
      <c r="C180" s="42" t="s">
        <v>355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25">
      <c r="A181" s="50" t="s">
        <v>657</v>
      </c>
      <c r="B181" s="64" t="s">
        <v>658</v>
      </c>
      <c r="C181" s="4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44">
        <v>37.700000000000003</v>
      </c>
      <c r="O181" s="45"/>
      <c r="P181" s="44"/>
      <c r="Q181" s="5"/>
    </row>
    <row r="182" spans="1:17" x14ac:dyDescent="0.25">
      <c r="A182" s="50">
        <v>852480</v>
      </c>
      <c r="B182" s="64" t="s">
        <v>659</v>
      </c>
      <c r="C182" s="4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>
        <v>32.06</v>
      </c>
      <c r="O182" s="45"/>
      <c r="P182" s="44"/>
      <c r="Q182" s="5"/>
    </row>
    <row r="183" spans="1:17" x14ac:dyDescent="0.25">
      <c r="A183" s="5" t="s">
        <v>660</v>
      </c>
      <c r="B183" s="64" t="s">
        <v>661</v>
      </c>
      <c r="C183" s="42" t="s">
        <v>303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14.6</v>
      </c>
      <c r="O183" s="45"/>
      <c r="P183" s="44"/>
      <c r="Q183" s="5"/>
    </row>
    <row r="184" spans="1:17" x14ac:dyDescent="0.25">
      <c r="A184" s="5" t="s">
        <v>662</v>
      </c>
      <c r="B184" s="64" t="s">
        <v>663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14.6</v>
      </c>
      <c r="O184" s="45"/>
      <c r="P184" s="44"/>
      <c r="Q184" s="5"/>
    </row>
    <row r="185" spans="1:17" x14ac:dyDescent="0.25">
      <c r="A185" s="69"/>
      <c r="B185" s="69" t="s">
        <v>345</v>
      </c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45"/>
      <c r="P185" s="44"/>
      <c r="Q185" s="5"/>
    </row>
    <row r="186" spans="1:17" x14ac:dyDescent="0.25">
      <c r="A186" s="5" t="s">
        <v>665</v>
      </c>
      <c r="B186" s="64" t="s">
        <v>666</v>
      </c>
      <c r="C186" s="42" t="s">
        <v>303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6.59</v>
      </c>
      <c r="O186" s="45"/>
      <c r="P186" s="44"/>
      <c r="Q186" s="5"/>
    </row>
    <row r="187" spans="1:17" x14ac:dyDescent="0.25">
      <c r="A187" s="50">
        <v>898410</v>
      </c>
      <c r="B187" s="64" t="s">
        <v>667</v>
      </c>
      <c r="C187" s="4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44">
        <v>2.46</v>
      </c>
      <c r="O187" s="45"/>
      <c r="P187" s="44"/>
      <c r="Q187" s="5"/>
    </row>
    <row r="188" spans="1:17" x14ac:dyDescent="0.25">
      <c r="A188" s="84">
        <v>898486</v>
      </c>
      <c r="B188" s="55" t="s">
        <v>614</v>
      </c>
      <c r="C188" s="42"/>
      <c r="D188" s="5" t="s">
        <v>615</v>
      </c>
      <c r="E188" s="133"/>
      <c r="F188" s="5"/>
      <c r="G188" s="5"/>
      <c r="H188" s="5"/>
      <c r="I188" s="5"/>
      <c r="J188" s="5"/>
      <c r="K188" s="5"/>
      <c r="L188" s="5"/>
      <c r="M188" s="5"/>
      <c r="N188" s="44">
        <v>7.55</v>
      </c>
      <c r="O188" s="45"/>
      <c r="P188" s="44"/>
      <c r="Q188" s="5"/>
    </row>
    <row r="189" spans="1:17" x14ac:dyDescent="0.25">
      <c r="A189" s="68"/>
      <c r="B189" s="55" t="s">
        <v>903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/>
      <c r="O189" s="45"/>
      <c r="P189" s="44"/>
      <c r="Q189" s="5"/>
    </row>
    <row r="190" spans="1:17" x14ac:dyDescent="0.25">
      <c r="A190" s="68"/>
      <c r="B190" s="55" t="s">
        <v>373</v>
      </c>
      <c r="C190" s="4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44"/>
      <c r="O190" s="45"/>
      <c r="P190" s="44"/>
      <c r="Q190" s="5"/>
    </row>
    <row r="191" spans="1:17" x14ac:dyDescent="0.25">
      <c r="A191" s="68"/>
      <c r="B191" s="55"/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ht="17.25" x14ac:dyDescent="0.25">
      <c r="A192" s="159" t="s">
        <v>504</v>
      </c>
      <c r="B192" s="159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</row>
    <row r="193" spans="1:17" ht="17.25" x14ac:dyDescent="0.25">
      <c r="A193" s="72"/>
      <c r="B193" s="78" t="s">
        <v>505</v>
      </c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x14ac:dyDescent="0.25">
      <c r="A194" s="79" t="s">
        <v>506</v>
      </c>
      <c r="B194" s="55" t="s">
        <v>507</v>
      </c>
      <c r="C194" s="42" t="s">
        <v>297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4"/>
      <c r="O194" s="45">
        <v>0.4</v>
      </c>
      <c r="P194" s="44"/>
      <c r="Q194" s="5"/>
    </row>
    <row r="195" spans="1:17" x14ac:dyDescent="0.25">
      <c r="A195" s="79" t="s">
        <v>508</v>
      </c>
      <c r="B195" s="55" t="s">
        <v>509</v>
      </c>
      <c r="C195" s="42" t="s">
        <v>297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>
        <v>0.4</v>
      </c>
      <c r="P195" s="44"/>
      <c r="Q195" s="5"/>
    </row>
    <row r="196" spans="1:17" x14ac:dyDescent="0.25">
      <c r="A196" s="79" t="s">
        <v>510</v>
      </c>
      <c r="B196" s="55" t="s">
        <v>511</v>
      </c>
      <c r="C196" s="42" t="s">
        <v>297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25">
      <c r="A197" s="80"/>
      <c r="B197" s="78" t="s">
        <v>512</v>
      </c>
      <c r="C197" s="42" t="s">
        <v>303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/>
      <c r="P197" s="44"/>
      <c r="Q197" s="5"/>
    </row>
    <row r="198" spans="1:17" x14ac:dyDescent="0.25">
      <c r="A198" s="79" t="s">
        <v>513</v>
      </c>
      <c r="B198" s="55" t="s">
        <v>514</v>
      </c>
      <c r="C198" s="42" t="s">
        <v>303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0.5</v>
      </c>
      <c r="P198" s="44"/>
      <c r="Q198" s="5"/>
    </row>
    <row r="199" spans="1:17" x14ac:dyDescent="0.25">
      <c r="A199" s="79" t="s">
        <v>515</v>
      </c>
      <c r="B199" s="55" t="s">
        <v>516</v>
      </c>
      <c r="C199" s="42" t="s">
        <v>303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>
        <v>0.5</v>
      </c>
      <c r="P199" s="44"/>
      <c r="Q199" s="5"/>
    </row>
    <row r="200" spans="1:17" x14ac:dyDescent="0.25">
      <c r="A200" s="79" t="s">
        <v>517</v>
      </c>
      <c r="B200" s="55" t="s">
        <v>518</v>
      </c>
      <c r="C200" s="42" t="s">
        <v>303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25">
      <c r="A201" s="80"/>
      <c r="B201" s="78" t="s">
        <v>519</v>
      </c>
      <c r="C201" s="42" t="s">
        <v>303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/>
      <c r="P201" s="44"/>
      <c r="Q201" s="5"/>
    </row>
    <row r="202" spans="1:17" x14ac:dyDescent="0.25">
      <c r="A202" s="79" t="s">
        <v>520</v>
      </c>
      <c r="B202" s="55" t="s">
        <v>521</v>
      </c>
      <c r="C202" s="42" t="s">
        <v>297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0.4</v>
      </c>
      <c r="P202" s="44"/>
      <c r="Q202" s="5"/>
    </row>
    <row r="203" spans="1:17" x14ac:dyDescent="0.25">
      <c r="A203" s="79" t="s">
        <v>522</v>
      </c>
      <c r="B203" s="55" t="s">
        <v>523</v>
      </c>
      <c r="C203" s="42" t="s">
        <v>297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>
        <v>0.4</v>
      </c>
      <c r="P203" s="44"/>
      <c r="Q203" s="5"/>
    </row>
    <row r="204" spans="1:17" x14ac:dyDescent="0.25">
      <c r="A204" s="79" t="s">
        <v>524</v>
      </c>
      <c r="B204" s="55" t="s">
        <v>525</v>
      </c>
      <c r="C204" s="42" t="s">
        <v>297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25">
      <c r="A205" s="79"/>
      <c r="B205" s="78" t="s">
        <v>526</v>
      </c>
      <c r="C205" s="4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/>
      <c r="P205" s="44"/>
      <c r="Q205" s="5"/>
    </row>
    <row r="206" spans="1:17" x14ac:dyDescent="0.25">
      <c r="A206" s="81" t="s">
        <v>527</v>
      </c>
      <c r="B206" s="55" t="s">
        <v>528</v>
      </c>
      <c r="C206" s="42" t="s">
        <v>303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0.5</v>
      </c>
      <c r="P206" s="44"/>
      <c r="Q206" s="5"/>
    </row>
    <row r="207" spans="1:17" x14ac:dyDescent="0.25">
      <c r="A207" s="82" t="s">
        <v>529</v>
      </c>
      <c r="B207" s="55" t="s">
        <v>530</v>
      </c>
      <c r="C207" s="42" t="s">
        <v>303</v>
      </c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>
        <v>0.5</v>
      </c>
      <c r="P207" s="44"/>
      <c r="Q207" s="5"/>
    </row>
    <row r="208" spans="1:17" x14ac:dyDescent="0.25">
      <c r="A208" s="82" t="s">
        <v>531</v>
      </c>
      <c r="B208" s="55" t="s">
        <v>532</v>
      </c>
      <c r="C208" s="42" t="s">
        <v>303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25">
      <c r="A209" s="82" t="s">
        <v>533</v>
      </c>
      <c r="B209" s="55" t="s">
        <v>534</v>
      </c>
      <c r="C209" s="42" t="s">
        <v>303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25">
      <c r="A210" s="82" t="s">
        <v>535</v>
      </c>
      <c r="B210" s="55" t="s">
        <v>536</v>
      </c>
      <c r="C210" s="42" t="s">
        <v>303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25">
      <c r="A211" s="80"/>
      <c r="B211" s="78" t="s">
        <v>537</v>
      </c>
      <c r="C211" s="42" t="s">
        <v>303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/>
      <c r="P211" s="44"/>
      <c r="Q211" s="5"/>
    </row>
    <row r="212" spans="1:17" x14ac:dyDescent="0.25">
      <c r="A212" s="81" t="s">
        <v>538</v>
      </c>
      <c r="B212" s="55" t="s">
        <v>539</v>
      </c>
      <c r="C212" s="42" t="s">
        <v>303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25">
      <c r="A213" s="82" t="s">
        <v>540</v>
      </c>
      <c r="B213" s="55" t="s">
        <v>541</v>
      </c>
      <c r="C213" s="42" t="s">
        <v>303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>
        <v>0.5</v>
      </c>
      <c r="P213" s="44"/>
      <c r="Q213" s="5"/>
    </row>
    <row r="214" spans="1:17" x14ac:dyDescent="0.25">
      <c r="A214" s="82" t="s">
        <v>542</v>
      </c>
      <c r="B214" s="55" t="s">
        <v>543</v>
      </c>
      <c r="C214" s="42" t="s">
        <v>303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>
        <v>31.44</v>
      </c>
      <c r="O214" s="45">
        <v>0.5</v>
      </c>
      <c r="P214" s="44"/>
      <c r="Q214" s="5"/>
    </row>
    <row r="215" spans="1:17" x14ac:dyDescent="0.25">
      <c r="A215" s="82" t="s">
        <v>544</v>
      </c>
      <c r="B215" s="55" t="s">
        <v>545</v>
      </c>
      <c r="C215" s="42" t="s">
        <v>303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25">
      <c r="A216" s="82" t="s">
        <v>546</v>
      </c>
      <c r="B216" s="55" t="s">
        <v>547</v>
      </c>
      <c r="C216" s="42" t="s">
        <v>303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/>
      <c r="O216" s="45">
        <v>0.5</v>
      </c>
      <c r="P216" s="44"/>
      <c r="Q216" s="5"/>
    </row>
    <row r="217" spans="1:17" x14ac:dyDescent="0.25">
      <c r="A217" s="80"/>
      <c r="B217" s="78" t="s">
        <v>548</v>
      </c>
      <c r="C217" s="42" t="s">
        <v>303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/>
      <c r="P217" s="44"/>
      <c r="Q217" s="5"/>
    </row>
    <row r="218" spans="1:17" x14ac:dyDescent="0.25">
      <c r="A218" s="81" t="s">
        <v>549</v>
      </c>
      <c r="B218" s="55" t="s">
        <v>550</v>
      </c>
      <c r="C218" s="42" t="s">
        <v>303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25">
      <c r="A219" s="82" t="s">
        <v>540</v>
      </c>
      <c r="B219" s="55" t="s">
        <v>541</v>
      </c>
      <c r="C219" s="42" t="s">
        <v>303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>
        <v>0.5</v>
      </c>
      <c r="P219" s="44"/>
      <c r="Q219" s="5"/>
    </row>
    <row r="220" spans="1:17" x14ac:dyDescent="0.25">
      <c r="A220" s="82" t="s">
        <v>542</v>
      </c>
      <c r="B220" s="55" t="s">
        <v>543</v>
      </c>
      <c r="C220" s="42" t="s">
        <v>303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>
        <v>31.44</v>
      </c>
      <c r="O220" s="45">
        <v>0.5</v>
      </c>
      <c r="P220" s="44"/>
      <c r="Q220" s="5"/>
    </row>
    <row r="221" spans="1:17" x14ac:dyDescent="0.25">
      <c r="A221" s="82" t="s">
        <v>544</v>
      </c>
      <c r="B221" s="55" t="s">
        <v>545</v>
      </c>
      <c r="C221" s="42" t="s">
        <v>303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25">
      <c r="A222" s="82" t="s">
        <v>551</v>
      </c>
      <c r="B222" s="55" t="s">
        <v>552</v>
      </c>
      <c r="C222" s="42" t="s">
        <v>303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25.79</v>
      </c>
      <c r="O222" s="45">
        <v>0.5</v>
      </c>
      <c r="P222" s="44"/>
      <c r="Q222" s="5"/>
    </row>
    <row r="223" spans="1:17" x14ac:dyDescent="0.25">
      <c r="A223" s="42"/>
      <c r="B223" s="83" t="s">
        <v>553</v>
      </c>
      <c r="C223" s="4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/>
      <c r="P223" s="44"/>
      <c r="Q223" s="5"/>
    </row>
    <row r="224" spans="1:17" x14ac:dyDescent="0.25">
      <c r="A224" s="79" t="s">
        <v>554</v>
      </c>
      <c r="B224" s="55" t="s">
        <v>555</v>
      </c>
      <c r="C224" s="42" t="s">
        <v>297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/>
      <c r="O224" s="45">
        <v>0.4</v>
      </c>
      <c r="P224" s="44"/>
      <c r="Q224" s="5"/>
    </row>
    <row r="225" spans="1:17" x14ac:dyDescent="0.25">
      <c r="A225" s="79" t="s">
        <v>556</v>
      </c>
      <c r="B225" s="55" t="s">
        <v>557</v>
      </c>
      <c r="C225" s="42" t="s">
        <v>297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>
        <v>0.4</v>
      </c>
      <c r="P225" s="44"/>
      <c r="Q225" s="5"/>
    </row>
    <row r="226" spans="1:17" x14ac:dyDescent="0.25">
      <c r="A226" s="79" t="s">
        <v>558</v>
      </c>
      <c r="B226" s="55" t="s">
        <v>559</v>
      </c>
      <c r="C226" s="42" t="s">
        <v>297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25">
      <c r="A227" s="79" t="s">
        <v>560</v>
      </c>
      <c r="B227" s="55" t="s">
        <v>561</v>
      </c>
      <c r="C227" s="42" t="s">
        <v>297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25">
      <c r="A228" s="79" t="s">
        <v>562</v>
      </c>
      <c r="B228" s="55" t="s">
        <v>563</v>
      </c>
      <c r="C228" s="42" t="s">
        <v>297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25">
      <c r="A229" s="79" t="s">
        <v>564</v>
      </c>
      <c r="B229" s="55" t="s">
        <v>565</v>
      </c>
      <c r="C229" s="42" t="s">
        <v>297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25">
      <c r="A230" s="79" t="s">
        <v>567</v>
      </c>
      <c r="B230" s="55" t="s">
        <v>568</v>
      </c>
      <c r="C230" s="4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>
        <v>53.57</v>
      </c>
      <c r="O230" s="45"/>
      <c r="P230" s="44"/>
      <c r="Q230" s="5"/>
    </row>
    <row r="231" spans="1:17" x14ac:dyDescent="0.25">
      <c r="A231" s="79" t="s">
        <v>569</v>
      </c>
      <c r="B231" s="55" t="s">
        <v>570</v>
      </c>
      <c r="C231" s="4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>
        <v>15.74</v>
      </c>
      <c r="O231" s="45"/>
      <c r="P231" s="44"/>
      <c r="Q231" s="5"/>
    </row>
    <row r="232" spans="1:17" x14ac:dyDescent="0.25">
      <c r="A232" s="79" t="s">
        <v>571</v>
      </c>
      <c r="B232" s="55" t="s">
        <v>572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7.36</v>
      </c>
      <c r="O232" s="45"/>
      <c r="P232" s="44"/>
      <c r="Q232" s="5"/>
    </row>
    <row r="233" spans="1:17" x14ac:dyDescent="0.25">
      <c r="A233" s="79" t="s">
        <v>573</v>
      </c>
      <c r="B233" s="55" t="s">
        <v>574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13.98</v>
      </c>
      <c r="O233" s="45"/>
      <c r="P233" s="44"/>
      <c r="Q233" s="5"/>
    </row>
    <row r="234" spans="1:17" x14ac:dyDescent="0.25">
      <c r="A234" s="79" t="s">
        <v>575</v>
      </c>
      <c r="B234" s="55" t="s">
        <v>576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15.22</v>
      </c>
      <c r="O234" s="45"/>
      <c r="P234" s="44"/>
      <c r="Q234" s="5"/>
    </row>
    <row r="235" spans="1:17" x14ac:dyDescent="0.25">
      <c r="A235" s="79" t="s">
        <v>577</v>
      </c>
      <c r="B235" s="55" t="s">
        <v>578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39.94</v>
      </c>
      <c r="O235" s="45"/>
      <c r="P235" s="44"/>
      <c r="Q235" s="5"/>
    </row>
    <row r="236" spans="1:17" x14ac:dyDescent="0.25">
      <c r="A236" s="79" t="s">
        <v>579</v>
      </c>
      <c r="B236" s="55" t="s">
        <v>580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166.1</v>
      </c>
      <c r="O236" s="45"/>
      <c r="P236" s="44"/>
      <c r="Q236" s="5"/>
    </row>
    <row r="237" spans="1:17" x14ac:dyDescent="0.25">
      <c r="A237" s="79"/>
      <c r="B237" s="55" t="s">
        <v>904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/>
      <c r="O237" s="45"/>
      <c r="P237" s="44"/>
      <c r="Q237" s="5"/>
    </row>
    <row r="238" spans="1:17" x14ac:dyDescent="0.25">
      <c r="A238" s="79"/>
      <c r="B238" s="55" t="s">
        <v>905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/>
      <c r="O238" s="45"/>
      <c r="P238" s="44"/>
      <c r="Q238" s="5"/>
    </row>
    <row r="239" spans="1:17" x14ac:dyDescent="0.25">
      <c r="A239" s="79"/>
      <c r="B239" s="55" t="s">
        <v>906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25">
      <c r="A240" s="161" t="s">
        <v>633</v>
      </c>
      <c r="B240" s="161"/>
      <c r="C240" s="161"/>
      <c r="D240" s="161"/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</row>
    <row r="241" spans="1:17" x14ac:dyDescent="0.25">
      <c r="A241" s="7" t="s">
        <v>319</v>
      </c>
      <c r="B241" s="64" t="s">
        <v>634</v>
      </c>
      <c r="C241" s="42" t="s">
        <v>15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8" t="s">
        <v>406</v>
      </c>
      <c r="O241" s="45"/>
      <c r="P241" s="58" t="s">
        <v>406</v>
      </c>
      <c r="Q241" s="44">
        <v>5.6</v>
      </c>
    </row>
    <row r="242" spans="1:17" x14ac:dyDescent="0.25">
      <c r="A242" s="7" t="s">
        <v>319</v>
      </c>
      <c r="B242" s="64" t="s">
        <v>635</v>
      </c>
      <c r="C242" s="42" t="s">
        <v>15</v>
      </c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8" t="s">
        <v>406</v>
      </c>
      <c r="O242" s="45"/>
      <c r="P242" s="58" t="s">
        <v>406</v>
      </c>
      <c r="Q242" s="44">
        <v>5</v>
      </c>
    </row>
    <row r="243" spans="1:17" x14ac:dyDescent="0.25">
      <c r="A243" s="54" t="s">
        <v>383</v>
      </c>
      <c r="B243" s="55" t="s">
        <v>384</v>
      </c>
      <c r="C243" s="42" t="s">
        <v>297</v>
      </c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4">
        <v>62.5</v>
      </c>
      <c r="O243" s="45">
        <v>0.4</v>
      </c>
      <c r="P243" s="69"/>
      <c r="Q243" s="69"/>
    </row>
    <row r="244" spans="1:17" x14ac:dyDescent="0.25">
      <c r="A244" s="54" t="s">
        <v>385</v>
      </c>
      <c r="B244" s="55" t="s">
        <v>386</v>
      </c>
      <c r="C244" s="42" t="s">
        <v>297</v>
      </c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4">
        <v>67.5</v>
      </c>
      <c r="O244" s="45">
        <v>0.4</v>
      </c>
      <c r="P244" s="69"/>
      <c r="Q244" s="69"/>
    </row>
    <row r="245" spans="1:17" x14ac:dyDescent="0.25">
      <c r="A245" s="54" t="s">
        <v>389</v>
      </c>
      <c r="B245" s="55" t="s">
        <v>390</v>
      </c>
      <c r="C245" s="42" t="s">
        <v>297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3.38</v>
      </c>
      <c r="O245" s="45">
        <v>0.4</v>
      </c>
      <c r="P245" s="44"/>
      <c r="Q245" s="5"/>
    </row>
    <row r="246" spans="1:17" x14ac:dyDescent="0.25">
      <c r="A246" s="52" t="s">
        <v>391</v>
      </c>
      <c r="B246" s="56" t="s">
        <v>392</v>
      </c>
      <c r="C246" s="42" t="s">
        <v>297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/>
      <c r="O246" s="45">
        <v>0.4</v>
      </c>
      <c r="P246" s="44"/>
      <c r="Q246" s="5"/>
    </row>
    <row r="247" spans="1:17" x14ac:dyDescent="0.25">
      <c r="A247" s="52" t="s">
        <v>393</v>
      </c>
      <c r="B247" s="56" t="s">
        <v>394</v>
      </c>
      <c r="C247" s="42" t="s">
        <v>297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/>
      <c r="O247" s="45">
        <v>0.4</v>
      </c>
      <c r="P247" s="44"/>
      <c r="Q247" s="5"/>
    </row>
    <row r="248" spans="1:17" x14ac:dyDescent="0.25">
      <c r="A248" s="52" t="s">
        <v>395</v>
      </c>
      <c r="B248" s="56" t="s">
        <v>396</v>
      </c>
      <c r="C248" s="42" t="s">
        <v>297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25">
      <c r="A249" s="50" t="s">
        <v>398</v>
      </c>
      <c r="B249" s="41" t="s">
        <v>399</v>
      </c>
      <c r="C249" s="42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>
        <v>28.99</v>
      </c>
      <c r="O249" s="45"/>
      <c r="P249" s="44"/>
      <c r="Q249" s="5"/>
    </row>
    <row r="250" spans="1:17" x14ac:dyDescent="0.25">
      <c r="A250" s="50" t="s">
        <v>400</v>
      </c>
      <c r="B250" s="50" t="s">
        <v>907</v>
      </c>
      <c r="C250" s="42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>
        <v>84.6</v>
      </c>
      <c r="O250" s="45"/>
      <c r="P250" s="44"/>
      <c r="Q250" s="5"/>
    </row>
    <row r="251" spans="1:17" x14ac:dyDescent="0.25">
      <c r="A251" s="68"/>
      <c r="B251" s="55" t="s">
        <v>908</v>
      </c>
      <c r="C251" s="4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44"/>
      <c r="O251" s="45"/>
      <c r="P251" s="44"/>
      <c r="Q251" s="5"/>
    </row>
    <row r="252" spans="1:17" x14ac:dyDescent="0.25">
      <c r="A252" s="68"/>
      <c r="B252" s="55" t="s">
        <v>909</v>
      </c>
      <c r="C252" s="4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44"/>
      <c r="O252" s="45"/>
      <c r="P252" s="44"/>
      <c r="Q252" s="5"/>
    </row>
    <row r="253" spans="1:17" x14ac:dyDescent="0.25">
      <c r="A253" s="68"/>
      <c r="B253" s="55" t="s">
        <v>910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25">
      <c r="A254" s="68"/>
      <c r="B254" s="55" t="s">
        <v>720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ht="17.25" x14ac:dyDescent="0.25">
      <c r="A255" s="162" t="s">
        <v>432</v>
      </c>
      <c r="B255" s="162"/>
      <c r="C255" s="162"/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</row>
    <row r="256" spans="1:17" x14ac:dyDescent="0.25">
      <c r="A256" s="50">
        <v>893780</v>
      </c>
      <c r="B256" s="64" t="s">
        <v>433</v>
      </c>
      <c r="C256" s="42" t="s">
        <v>303</v>
      </c>
      <c r="D256" s="5">
        <v>18</v>
      </c>
      <c r="E256" s="133"/>
      <c r="F256" s="5"/>
      <c r="G256" s="5"/>
      <c r="H256" s="5"/>
      <c r="I256" s="5"/>
      <c r="J256" s="5"/>
      <c r="K256" s="5"/>
      <c r="L256" s="5"/>
      <c r="M256" s="5"/>
      <c r="N256" s="44">
        <v>19.059999999999999</v>
      </c>
      <c r="O256" s="45">
        <v>0.5</v>
      </c>
      <c r="P256" s="44"/>
      <c r="Q256" s="5"/>
    </row>
    <row r="257" spans="1:17" x14ac:dyDescent="0.25">
      <c r="A257" s="50">
        <v>893782</v>
      </c>
      <c r="B257" s="64" t="s">
        <v>434</v>
      </c>
      <c r="C257" s="42" t="s">
        <v>303</v>
      </c>
      <c r="D257" s="5">
        <v>40</v>
      </c>
      <c r="E257" s="133"/>
      <c r="F257" s="5"/>
      <c r="G257" s="5"/>
      <c r="H257" s="5"/>
      <c r="I257" s="5"/>
      <c r="J257" s="5"/>
      <c r="K257" s="5"/>
      <c r="L257" s="5"/>
      <c r="M257" s="5"/>
      <c r="N257" s="44">
        <v>19.059999999999999</v>
      </c>
      <c r="O257" s="45">
        <v>0.5</v>
      </c>
      <c r="P257" s="44"/>
      <c r="Q257" s="5"/>
    </row>
    <row r="258" spans="1:17" x14ac:dyDescent="0.25">
      <c r="A258" s="65">
        <v>893783</v>
      </c>
      <c r="B258" s="64" t="s">
        <v>435</v>
      </c>
      <c r="C258" s="42" t="s">
        <v>303</v>
      </c>
      <c r="D258" s="5">
        <v>30</v>
      </c>
      <c r="E258" s="133"/>
      <c r="F258" s="5"/>
      <c r="G258" s="5"/>
      <c r="H258" s="5"/>
      <c r="I258" s="5"/>
      <c r="J258" s="5"/>
      <c r="K258" s="5"/>
      <c r="L258" s="5"/>
      <c r="M258" s="5"/>
      <c r="N258" s="44">
        <v>18.420000000000002</v>
      </c>
      <c r="O258" s="45">
        <v>0.5</v>
      </c>
      <c r="P258" s="44"/>
      <c r="Q258" s="5"/>
    </row>
    <row r="259" spans="1:17" x14ac:dyDescent="0.25">
      <c r="A259" s="54" t="s">
        <v>436</v>
      </c>
      <c r="B259" s="64" t="s">
        <v>437</v>
      </c>
      <c r="C259" s="42" t="s">
        <v>297</v>
      </c>
      <c r="D259" s="5">
        <v>15</v>
      </c>
      <c r="E259" s="133"/>
      <c r="F259" s="5"/>
      <c r="G259" s="5"/>
      <c r="H259" s="5"/>
      <c r="I259" s="5"/>
      <c r="J259" s="5"/>
      <c r="K259" s="5"/>
      <c r="L259" s="5"/>
      <c r="M259" s="5"/>
      <c r="N259" s="44">
        <v>9.9</v>
      </c>
      <c r="O259" s="45">
        <v>0.4</v>
      </c>
      <c r="P259" s="44"/>
      <c r="Q259" s="5"/>
    </row>
    <row r="260" spans="1:17" x14ac:dyDescent="0.25">
      <c r="A260" s="54" t="s">
        <v>438</v>
      </c>
      <c r="B260" s="64" t="s">
        <v>439</v>
      </c>
      <c r="C260" s="42" t="s">
        <v>297</v>
      </c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44">
        <v>210</v>
      </c>
      <c r="O260" s="45">
        <v>0.4</v>
      </c>
      <c r="P260" s="44"/>
      <c r="Q260" s="5"/>
    </row>
    <row r="261" spans="1:17" x14ac:dyDescent="0.25">
      <c r="A261" s="53">
        <v>857187</v>
      </c>
      <c r="B261" s="64" t="s">
        <v>440</v>
      </c>
      <c r="C261" s="42" t="s">
        <v>303</v>
      </c>
      <c r="D261" s="5">
        <v>0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20.51</v>
      </c>
      <c r="O261" s="45">
        <v>0.5</v>
      </c>
      <c r="P261" s="44"/>
      <c r="Q261" s="5"/>
    </row>
    <row r="262" spans="1:17" x14ac:dyDescent="0.25">
      <c r="A262" s="66" t="s">
        <v>319</v>
      </c>
      <c r="B262" s="64" t="s">
        <v>441</v>
      </c>
      <c r="C262" s="42" t="s">
        <v>303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67" t="s">
        <v>319</v>
      </c>
      <c r="O262" s="45">
        <v>0.5</v>
      </c>
      <c r="P262" s="44"/>
      <c r="Q262" s="5"/>
    </row>
    <row r="263" spans="1:17" x14ac:dyDescent="0.25">
      <c r="A263" s="2" t="s">
        <v>319</v>
      </c>
      <c r="B263" s="64" t="s">
        <v>441</v>
      </c>
      <c r="C263" s="42" t="s">
        <v>303</v>
      </c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67" t="s">
        <v>319</v>
      </c>
      <c r="O263" s="45">
        <v>0.5</v>
      </c>
      <c r="P263" s="44"/>
      <c r="Q263" s="5"/>
    </row>
    <row r="264" spans="1:17" x14ac:dyDescent="0.25">
      <c r="A264" s="2" t="s">
        <v>319</v>
      </c>
      <c r="B264" s="64" t="s">
        <v>442</v>
      </c>
      <c r="C264" s="42" t="s">
        <v>443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319</v>
      </c>
      <c r="O264" s="45"/>
      <c r="P264" s="44"/>
      <c r="Q264" s="5"/>
    </row>
    <row r="265" spans="1:17" ht="17.25" x14ac:dyDescent="0.25">
      <c r="A265" s="63" t="s">
        <v>319</v>
      </c>
      <c r="B265" s="64" t="s">
        <v>442</v>
      </c>
      <c r="C265" s="42" t="s">
        <v>443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319</v>
      </c>
      <c r="O265" s="45"/>
      <c r="P265" s="44"/>
      <c r="Q265" s="5"/>
    </row>
    <row r="266" spans="1:17" x14ac:dyDescent="0.25">
      <c r="A266" s="68">
        <v>857543</v>
      </c>
      <c r="B266" s="55" t="s">
        <v>444</v>
      </c>
      <c r="C266" s="4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44">
        <v>21.76</v>
      </c>
      <c r="O266" s="45"/>
      <c r="P266" s="44"/>
      <c r="Q266" s="5"/>
    </row>
    <row r="267" spans="1:17" x14ac:dyDescent="0.25">
      <c r="A267" s="69"/>
      <c r="B267" s="70" t="s">
        <v>445</v>
      </c>
      <c r="C267" s="42" t="s">
        <v>303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44"/>
      <c r="O267" s="45"/>
      <c r="P267" s="44"/>
      <c r="Q267" s="5"/>
    </row>
    <row r="268" spans="1:17" x14ac:dyDescent="0.25">
      <c r="A268" s="70"/>
      <c r="B268" s="71" t="s">
        <v>446</v>
      </c>
      <c r="C268" s="42" t="s">
        <v>303</v>
      </c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/>
      <c r="O268" s="45"/>
      <c r="P268" s="44"/>
      <c r="Q268" s="5"/>
    </row>
    <row r="269" spans="1:17" ht="17.25" x14ac:dyDescent="0.25">
      <c r="A269" s="159" t="s">
        <v>486</v>
      </c>
      <c r="B269" s="159"/>
      <c r="C269" s="159"/>
      <c r="D269" s="159"/>
      <c r="E269" s="159"/>
      <c r="F269" s="159"/>
      <c r="G269" s="159"/>
      <c r="H269" s="159"/>
      <c r="I269" s="159"/>
      <c r="J269" s="159"/>
      <c r="K269" s="159"/>
      <c r="L269" s="159"/>
      <c r="M269" s="159"/>
      <c r="N269" s="159"/>
      <c r="O269" s="159"/>
      <c r="P269" s="159"/>
      <c r="Q269" s="159"/>
    </row>
    <row r="270" spans="1:17" x14ac:dyDescent="0.25">
      <c r="A270" s="77" t="s">
        <v>487</v>
      </c>
      <c r="B270" s="56" t="s">
        <v>488</v>
      </c>
      <c r="C270" s="42" t="s">
        <v>297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>
        <v>0.4</v>
      </c>
      <c r="P270" s="44"/>
      <c r="Q270" s="5"/>
    </row>
    <row r="271" spans="1:17" x14ac:dyDescent="0.25">
      <c r="A271" s="77" t="s">
        <v>489</v>
      </c>
      <c r="B271" s="56" t="s">
        <v>490</v>
      </c>
      <c r="C271" s="42" t="s">
        <v>297</v>
      </c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44"/>
      <c r="O271" s="45">
        <v>0.4</v>
      </c>
      <c r="P271" s="44"/>
      <c r="Q271" s="5"/>
    </row>
    <row r="272" spans="1:17" x14ac:dyDescent="0.25">
      <c r="A272" s="77" t="s">
        <v>491</v>
      </c>
      <c r="B272" s="56" t="s">
        <v>492</v>
      </c>
      <c r="C272" s="42" t="s">
        <v>297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/>
      <c r="P272" s="44"/>
      <c r="Q272" s="5"/>
    </row>
    <row r="273" spans="1:17" x14ac:dyDescent="0.25">
      <c r="A273" s="77" t="s">
        <v>493</v>
      </c>
      <c r="B273" s="56" t="s">
        <v>494</v>
      </c>
      <c r="C273" s="42" t="s">
        <v>297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/>
      <c r="P273" s="44"/>
      <c r="Q273" s="5"/>
    </row>
    <row r="274" spans="1:17" x14ac:dyDescent="0.25">
      <c r="A274" s="77" t="s">
        <v>495</v>
      </c>
      <c r="B274" s="56" t="s">
        <v>496</v>
      </c>
      <c r="C274" s="42" t="s">
        <v>297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25">
      <c r="A275" s="7" t="s">
        <v>319</v>
      </c>
      <c r="B275" s="64" t="s">
        <v>497</v>
      </c>
      <c r="C275" s="42" t="s">
        <v>355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25">
      <c r="A276" s="7" t="s">
        <v>319</v>
      </c>
      <c r="B276" s="64" t="s">
        <v>498</v>
      </c>
      <c r="C276" s="42" t="s">
        <v>355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25">
      <c r="A277" s="7" t="s">
        <v>319</v>
      </c>
      <c r="B277" s="64" t="s">
        <v>499</v>
      </c>
      <c r="C277" s="42" t="s">
        <v>355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25">
      <c r="A278" s="5"/>
      <c r="B278" s="64" t="s">
        <v>500</v>
      </c>
      <c r="C278" s="42" t="s">
        <v>303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>
        <v>0.5</v>
      </c>
      <c r="P278" s="44"/>
      <c r="Q278" s="5"/>
    </row>
    <row r="279" spans="1:17" x14ac:dyDescent="0.25">
      <c r="A279" s="5"/>
      <c r="B279" s="64" t="s">
        <v>501</v>
      </c>
      <c r="C279" s="42" t="s">
        <v>303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>
        <v>0.5</v>
      </c>
      <c r="P279" s="44"/>
      <c r="Q279" s="5"/>
    </row>
    <row r="280" spans="1:17" x14ac:dyDescent="0.25">
      <c r="A280" s="7" t="s">
        <v>319</v>
      </c>
      <c r="B280" s="64" t="s">
        <v>502</v>
      </c>
      <c r="C280" s="42" t="s">
        <v>355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/>
      <c r="P280" s="44"/>
      <c r="Q280" s="44"/>
    </row>
    <row r="281" spans="1:17" x14ac:dyDescent="0.25">
      <c r="A281" s="7" t="s">
        <v>319</v>
      </c>
      <c r="B281" s="64" t="s">
        <v>503</v>
      </c>
      <c r="C281" s="42" t="s">
        <v>355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/>
      <c r="P281" s="44"/>
      <c r="Q281" s="44"/>
    </row>
    <row r="282" spans="1:17" x14ac:dyDescent="0.25">
      <c r="A282" s="5"/>
      <c r="B282" s="64"/>
      <c r="C282" s="4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5"/>
    </row>
    <row r="283" spans="1:17" x14ac:dyDescent="0.25">
      <c r="A283" s="5"/>
      <c r="B283" s="64"/>
      <c r="C283" s="4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5"/>
    </row>
    <row r="284" spans="1:17" x14ac:dyDescent="0.25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25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25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ht="17.25" x14ac:dyDescent="0.25">
      <c r="A287" s="159" t="s">
        <v>468</v>
      </c>
      <c r="B287" s="159"/>
      <c r="C287" s="159"/>
      <c r="D287" s="159"/>
      <c r="E287" s="159"/>
      <c r="F287" s="159"/>
      <c r="G287" s="159"/>
      <c r="H287" s="159"/>
      <c r="I287" s="159"/>
      <c r="J287" s="159"/>
      <c r="K287" s="159"/>
      <c r="L287" s="159"/>
      <c r="M287" s="159"/>
      <c r="N287" s="159"/>
      <c r="O287" s="159"/>
      <c r="P287" s="159"/>
      <c r="Q287" s="159"/>
    </row>
    <row r="288" spans="1:17" x14ac:dyDescent="0.25">
      <c r="A288" s="7" t="s">
        <v>319</v>
      </c>
      <c r="B288" s="64" t="s">
        <v>469</v>
      </c>
      <c r="C288" s="42" t="s">
        <v>18</v>
      </c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>
        <v>90</v>
      </c>
      <c r="O288" s="45">
        <v>0.4</v>
      </c>
      <c r="P288" s="44">
        <f>(N288*O288)</f>
        <v>36</v>
      </c>
      <c r="Q288" s="44">
        <f>(N288-P288)</f>
        <v>54</v>
      </c>
    </row>
    <row r="289" spans="1:17" x14ac:dyDescent="0.25">
      <c r="A289" s="7" t="s">
        <v>319</v>
      </c>
      <c r="B289" s="64" t="s">
        <v>470</v>
      </c>
      <c r="C289" s="42" t="s">
        <v>18</v>
      </c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44">
        <v>98</v>
      </c>
      <c r="O289" s="45">
        <v>0.4</v>
      </c>
      <c r="P289" s="44">
        <f>(N289*O289)</f>
        <v>39.200000000000003</v>
      </c>
      <c r="Q289" s="44">
        <f>(N289-P289)</f>
        <v>58.8</v>
      </c>
    </row>
    <row r="290" spans="1:17" x14ac:dyDescent="0.25">
      <c r="A290" s="7" t="s">
        <v>319</v>
      </c>
      <c r="B290" s="64" t="s">
        <v>457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98</v>
      </c>
      <c r="O290" s="45">
        <v>0.4</v>
      </c>
      <c r="P290" s="44">
        <f>(N290*O290)</f>
        <v>39.200000000000003</v>
      </c>
      <c r="Q290" s="44">
        <f>(N290-P290)</f>
        <v>58.8</v>
      </c>
    </row>
    <row r="291" spans="1:17" x14ac:dyDescent="0.25">
      <c r="A291" s="7" t="s">
        <v>319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80</v>
      </c>
      <c r="O291" s="45">
        <v>0.4</v>
      </c>
      <c r="P291" s="44">
        <f>(N291*O291)</f>
        <v>32</v>
      </c>
      <c r="Q291" s="44">
        <f>(N291-P291)</f>
        <v>48</v>
      </c>
    </row>
    <row r="292" spans="1:17" x14ac:dyDescent="0.25">
      <c r="A292" s="7" t="s">
        <v>319</v>
      </c>
      <c r="B292" s="64" t="s">
        <v>472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120</v>
      </c>
      <c r="O292" s="45">
        <v>0.4</v>
      </c>
      <c r="P292" s="44">
        <f>(N292*O292)</f>
        <v>48</v>
      </c>
      <c r="Q292" s="44">
        <f>(N292-P292)</f>
        <v>72</v>
      </c>
    </row>
    <row r="293" spans="1:17" x14ac:dyDescent="0.25">
      <c r="A293" s="50" t="s">
        <v>473</v>
      </c>
      <c r="B293" s="64" t="s">
        <v>474</v>
      </c>
      <c r="C293" s="4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27.21</v>
      </c>
      <c r="O293" s="45"/>
      <c r="P293" s="44"/>
      <c r="Q293" s="5"/>
    </row>
    <row r="294" spans="1:17" x14ac:dyDescent="0.25">
      <c r="A294" s="50">
        <v>890960</v>
      </c>
      <c r="B294" s="64" t="s">
        <v>475</v>
      </c>
      <c r="C294" s="4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25.89</v>
      </c>
      <c r="O294" s="45"/>
      <c r="P294" s="44"/>
      <c r="Q294" s="5"/>
    </row>
    <row r="295" spans="1:17" x14ac:dyDescent="0.25">
      <c r="A295" s="68" t="s">
        <v>476</v>
      </c>
      <c r="B295" s="55" t="s">
        <v>477</v>
      </c>
      <c r="C295" s="42" t="s">
        <v>303</v>
      </c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14.94</v>
      </c>
      <c r="O295" s="45"/>
      <c r="P295" s="44"/>
      <c r="Q295" s="5"/>
    </row>
    <row r="296" spans="1:17" x14ac:dyDescent="0.25">
      <c r="A296" s="7" t="s">
        <v>319</v>
      </c>
      <c r="B296" s="64" t="s">
        <v>478</v>
      </c>
      <c r="C296" s="42" t="s">
        <v>18</v>
      </c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59</v>
      </c>
      <c r="O296" s="45">
        <v>0.4</v>
      </c>
      <c r="P296" s="44">
        <f>(N296*O296)</f>
        <v>23.6</v>
      </c>
      <c r="Q296" s="44">
        <f>(N296-P296)</f>
        <v>35.4</v>
      </c>
    </row>
    <row r="297" spans="1:17" x14ac:dyDescent="0.25">
      <c r="A297" s="7" t="s">
        <v>319</v>
      </c>
      <c r="B297" s="64" t="s">
        <v>479</v>
      </c>
      <c r="C297" s="42" t="s">
        <v>18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198</v>
      </c>
      <c r="O297" s="45">
        <v>0.4</v>
      </c>
      <c r="P297" s="44">
        <f>(N297*O297)</f>
        <v>79.2</v>
      </c>
      <c r="Q297" s="44">
        <f>(N297-P297)</f>
        <v>118.8</v>
      </c>
    </row>
    <row r="298" spans="1:17" x14ac:dyDescent="0.25">
      <c r="A298" s="7" t="s">
        <v>319</v>
      </c>
      <c r="B298" s="64" t="s">
        <v>480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25">
      <c r="A299" s="7" t="s">
        <v>319</v>
      </c>
      <c r="B299" s="64" t="s">
        <v>481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25">
      <c r="A300" s="7" t="s">
        <v>319</v>
      </c>
      <c r="B300" s="64" t="s">
        <v>482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8" t="s">
        <v>406</v>
      </c>
      <c r="O300" s="45">
        <v>0.4</v>
      </c>
      <c r="P300" s="44"/>
      <c r="Q300" s="5"/>
    </row>
    <row r="301" spans="1:17" x14ac:dyDescent="0.25">
      <c r="A301" s="77" t="s">
        <v>483</v>
      </c>
      <c r="B301" s="56" t="s">
        <v>484</v>
      </c>
      <c r="C301" s="42" t="s">
        <v>297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/>
      <c r="O301" s="45"/>
      <c r="P301" s="44"/>
      <c r="Q301" s="5"/>
    </row>
    <row r="302" spans="1:17" x14ac:dyDescent="0.25">
      <c r="A302" s="5"/>
      <c r="B302" s="64" t="s">
        <v>485</v>
      </c>
      <c r="C302" s="42" t="s">
        <v>303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44"/>
      <c r="O302" s="45"/>
      <c r="P302" s="44"/>
      <c r="Q302" s="5"/>
    </row>
    <row r="303" spans="1:17" x14ac:dyDescent="0.25">
      <c r="A303" s="5"/>
      <c r="B303" s="64"/>
      <c r="C303" s="4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25">
      <c r="A304" s="5"/>
      <c r="B304" s="64"/>
      <c r="C304" s="4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25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ht="17.25" x14ac:dyDescent="0.25">
      <c r="A306" s="159" t="s">
        <v>454</v>
      </c>
      <c r="B306" s="159"/>
      <c r="C306" s="159"/>
      <c r="D306" s="159"/>
      <c r="E306" s="159"/>
      <c r="F306" s="159"/>
      <c r="G306" s="159"/>
      <c r="H306" s="159"/>
      <c r="I306" s="159"/>
      <c r="J306" s="159"/>
      <c r="K306" s="159"/>
      <c r="L306" s="159"/>
      <c r="M306" s="159"/>
      <c r="N306" s="159"/>
      <c r="O306" s="159"/>
      <c r="P306" s="159"/>
      <c r="Q306" s="159"/>
    </row>
    <row r="307" spans="1:17" x14ac:dyDescent="0.25">
      <c r="A307" s="7" t="s">
        <v>319</v>
      </c>
      <c r="B307" s="64" t="s">
        <v>455</v>
      </c>
      <c r="C307" s="42" t="s">
        <v>18</v>
      </c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>
        <v>398</v>
      </c>
      <c r="O307" s="45">
        <v>0.4</v>
      </c>
      <c r="P307" s="44">
        <f t="shared" ref="P307:P317" si="2">(N307*0.4)</f>
        <v>159.20000000000002</v>
      </c>
      <c r="Q307" s="44">
        <f t="shared" ref="Q307:Q317" si="3">(N307-P307)</f>
        <v>238.79999999999998</v>
      </c>
    </row>
    <row r="308" spans="1:17" x14ac:dyDescent="0.25">
      <c r="A308" s="7" t="s">
        <v>319</v>
      </c>
      <c r="B308" s="64" t="s">
        <v>456</v>
      </c>
      <c r="C308" s="42" t="s">
        <v>18</v>
      </c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44">
        <v>85</v>
      </c>
      <c r="O308" s="45">
        <v>0.4</v>
      </c>
      <c r="P308" s="44">
        <f t="shared" si="2"/>
        <v>34</v>
      </c>
      <c r="Q308" s="44">
        <f t="shared" si="3"/>
        <v>51</v>
      </c>
    </row>
    <row r="309" spans="1:17" x14ac:dyDescent="0.25">
      <c r="A309" s="7" t="s">
        <v>319</v>
      </c>
      <c r="B309" s="64" t="s">
        <v>457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85</v>
      </c>
      <c r="O309" s="45">
        <v>0.4</v>
      </c>
      <c r="P309" s="44">
        <f t="shared" si="2"/>
        <v>34</v>
      </c>
      <c r="Q309" s="44">
        <f t="shared" si="3"/>
        <v>51</v>
      </c>
    </row>
    <row r="310" spans="1:17" x14ac:dyDescent="0.25">
      <c r="A310" s="7" t="s">
        <v>319</v>
      </c>
      <c r="B310" s="64" t="s">
        <v>458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16</v>
      </c>
      <c r="O310" s="45">
        <v>0.4</v>
      </c>
      <c r="P310" s="44">
        <f t="shared" si="2"/>
        <v>6.4</v>
      </c>
      <c r="Q310" s="44">
        <f t="shared" si="3"/>
        <v>9.6</v>
      </c>
    </row>
    <row r="311" spans="1:17" x14ac:dyDescent="0.25">
      <c r="A311" s="7" t="s">
        <v>319</v>
      </c>
      <c r="B311" s="64" t="s">
        <v>459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35</v>
      </c>
      <c r="O311" s="45">
        <v>0.4</v>
      </c>
      <c r="P311" s="44">
        <f t="shared" si="2"/>
        <v>14</v>
      </c>
      <c r="Q311" s="44">
        <f t="shared" si="3"/>
        <v>21</v>
      </c>
    </row>
    <row r="312" spans="1:17" x14ac:dyDescent="0.25">
      <c r="A312" s="7" t="s">
        <v>319</v>
      </c>
      <c r="B312" s="64" t="s">
        <v>460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89</v>
      </c>
      <c r="O312" s="45">
        <v>0.4</v>
      </c>
      <c r="P312" s="44">
        <f t="shared" si="2"/>
        <v>35.6</v>
      </c>
      <c r="Q312" s="44">
        <f t="shared" si="3"/>
        <v>53.4</v>
      </c>
    </row>
    <row r="313" spans="1:17" x14ac:dyDescent="0.25">
      <c r="A313" s="7" t="s">
        <v>319</v>
      </c>
      <c r="B313" s="64" t="s">
        <v>461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89</v>
      </c>
      <c r="O313" s="45">
        <v>0.4</v>
      </c>
      <c r="P313" s="44">
        <f t="shared" si="2"/>
        <v>35.6</v>
      </c>
      <c r="Q313" s="44">
        <f t="shared" si="3"/>
        <v>53.4</v>
      </c>
    </row>
    <row r="314" spans="1:17" x14ac:dyDescent="0.25">
      <c r="A314" s="7" t="s">
        <v>319</v>
      </c>
      <c r="B314" s="64" t="s">
        <v>462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19</v>
      </c>
      <c r="O314" s="45">
        <v>0.4</v>
      </c>
      <c r="P314" s="44">
        <f t="shared" si="2"/>
        <v>7.6000000000000005</v>
      </c>
      <c r="Q314" s="44">
        <f t="shared" si="3"/>
        <v>11.399999999999999</v>
      </c>
    </row>
    <row r="315" spans="1:17" x14ac:dyDescent="0.25">
      <c r="A315" s="7" t="s">
        <v>319</v>
      </c>
      <c r="B315" s="64" t="s">
        <v>463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6</v>
      </c>
      <c r="O315" s="45">
        <v>0.4</v>
      </c>
      <c r="P315" s="44">
        <f t="shared" si="2"/>
        <v>2.4000000000000004</v>
      </c>
      <c r="Q315" s="44">
        <f t="shared" si="3"/>
        <v>3.5999999999999996</v>
      </c>
    </row>
    <row r="316" spans="1:17" x14ac:dyDescent="0.25">
      <c r="A316" s="7" t="s">
        <v>319</v>
      </c>
      <c r="B316" s="64" t="s">
        <v>464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6</v>
      </c>
      <c r="O316" s="45">
        <v>0.4</v>
      </c>
      <c r="P316" s="44">
        <f t="shared" si="2"/>
        <v>2.4000000000000004</v>
      </c>
      <c r="Q316" s="44">
        <f t="shared" si="3"/>
        <v>3.5999999999999996</v>
      </c>
    </row>
    <row r="317" spans="1:17" x14ac:dyDescent="0.25">
      <c r="A317" s="7" t="s">
        <v>319</v>
      </c>
      <c r="B317" s="64" t="s">
        <v>465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65</v>
      </c>
      <c r="O317" s="45">
        <v>0.4</v>
      </c>
      <c r="P317" s="44">
        <f t="shared" si="2"/>
        <v>26</v>
      </c>
      <c r="Q317" s="44">
        <f t="shared" si="3"/>
        <v>39</v>
      </c>
    </row>
    <row r="318" spans="1:17" x14ac:dyDescent="0.25">
      <c r="A318" s="7" t="s">
        <v>319</v>
      </c>
      <c r="B318" s="64" t="s">
        <v>466</v>
      </c>
      <c r="C318" s="42" t="s">
        <v>15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8" t="s">
        <v>406</v>
      </c>
      <c r="O318" s="45">
        <v>0.4</v>
      </c>
      <c r="P318" s="58" t="s">
        <v>406</v>
      </c>
      <c r="Q318" s="44">
        <v>72</v>
      </c>
    </row>
    <row r="319" spans="1:17" x14ac:dyDescent="0.25">
      <c r="A319" s="5"/>
      <c r="B319" s="64" t="s">
        <v>467</v>
      </c>
      <c r="C319" s="42" t="s">
        <v>303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/>
      <c r="O319" s="45">
        <v>0.5</v>
      </c>
      <c r="P319" s="44"/>
      <c r="Q319" s="5"/>
    </row>
    <row r="320" spans="1:17" x14ac:dyDescent="0.25">
      <c r="A320" s="5"/>
      <c r="B320" s="64"/>
      <c r="C320" s="4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44"/>
      <c r="O320" s="45"/>
      <c r="P320" s="44"/>
      <c r="Q320" s="5"/>
    </row>
    <row r="321" spans="1:17" x14ac:dyDescent="0.25">
      <c r="A321" s="5"/>
      <c r="B321" s="64"/>
      <c r="C321" s="4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/>
      <c r="P321" s="44"/>
      <c r="Q321" s="5"/>
    </row>
    <row r="322" spans="1:17" x14ac:dyDescent="0.25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ht="17.25" x14ac:dyDescent="0.25">
      <c r="A323" s="159" t="s">
        <v>447</v>
      </c>
      <c r="B323" s="159"/>
      <c r="C323" s="159"/>
      <c r="D323" s="159"/>
      <c r="E323" s="159"/>
      <c r="F323" s="159"/>
      <c r="G323" s="159"/>
      <c r="H323" s="159"/>
      <c r="I323" s="159"/>
      <c r="J323" s="159"/>
      <c r="K323" s="159"/>
      <c r="L323" s="159"/>
      <c r="M323" s="159"/>
      <c r="N323" s="159"/>
      <c r="O323" s="159"/>
      <c r="P323" s="159"/>
      <c r="Q323" s="159"/>
    </row>
    <row r="324" spans="1:17" x14ac:dyDescent="0.25">
      <c r="A324" s="2" t="s">
        <v>319</v>
      </c>
      <c r="B324" s="64" t="s">
        <v>448</v>
      </c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x14ac:dyDescent="0.25">
      <c r="A325" s="2" t="s">
        <v>319</v>
      </c>
      <c r="B325" s="64" t="s">
        <v>449</v>
      </c>
      <c r="C325" s="4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44"/>
      <c r="O325" s="45"/>
      <c r="P325" s="44"/>
      <c r="Q325" s="5"/>
    </row>
    <row r="326" spans="1:17" x14ac:dyDescent="0.25">
      <c r="A326" s="5" t="s">
        <v>450</v>
      </c>
      <c r="B326" s="64" t="s">
        <v>451</v>
      </c>
      <c r="C326" s="42" t="s">
        <v>303</v>
      </c>
      <c r="D326" s="5">
        <v>8</v>
      </c>
      <c r="E326" s="133"/>
      <c r="F326" s="5"/>
      <c r="G326" s="5"/>
      <c r="H326" s="5"/>
      <c r="I326" s="5"/>
      <c r="J326" s="5"/>
      <c r="K326" s="5"/>
      <c r="L326" s="5"/>
      <c r="M326" s="5"/>
      <c r="N326" s="44">
        <v>290.04000000000002</v>
      </c>
      <c r="O326" s="45">
        <v>0.5</v>
      </c>
      <c r="P326" s="44"/>
      <c r="Q326" s="5"/>
    </row>
    <row r="327" spans="1:17" x14ac:dyDescent="0.25">
      <c r="A327" s="73" t="s">
        <v>319</v>
      </c>
      <c r="B327" s="74" t="s">
        <v>452</v>
      </c>
      <c r="C327" s="75" t="s">
        <v>355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76"/>
      <c r="O327" s="45"/>
      <c r="P327" s="44"/>
      <c r="Q327" s="5"/>
    </row>
    <row r="328" spans="1:17" x14ac:dyDescent="0.25">
      <c r="A328" s="73" t="s">
        <v>319</v>
      </c>
      <c r="B328" s="74" t="s">
        <v>453</v>
      </c>
      <c r="C328" s="75" t="s">
        <v>355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76"/>
      <c r="O328" s="45"/>
      <c r="P328" s="44"/>
      <c r="Q328" s="5"/>
    </row>
    <row r="329" spans="1:17" x14ac:dyDescent="0.25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45"/>
      <c r="P329" s="44"/>
      <c r="Q329" s="5"/>
    </row>
    <row r="330" spans="1:17" x14ac:dyDescent="0.25">
      <c r="A330" s="69"/>
      <c r="B330" s="74"/>
      <c r="C330" s="75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25">
      <c r="A331" s="5"/>
      <c r="B331" s="64"/>
      <c r="C331" s="4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44"/>
      <c r="O331" s="45"/>
      <c r="P331" s="44"/>
      <c r="Q331" s="5"/>
    </row>
    <row r="332" spans="1:17" ht="17.25" x14ac:dyDescent="0.25">
      <c r="A332" s="160" t="s">
        <v>668</v>
      </c>
      <c r="B332" s="160"/>
      <c r="C332" s="160"/>
      <c r="D332" s="160"/>
      <c r="E332" s="160"/>
      <c r="F332" s="160"/>
      <c r="G332" s="160"/>
      <c r="H332" s="160"/>
      <c r="I332" s="160"/>
      <c r="J332" s="160"/>
      <c r="K332" s="160"/>
      <c r="L332" s="160"/>
      <c r="M332" s="160"/>
      <c r="N332" s="160"/>
      <c r="O332" s="160"/>
      <c r="P332" s="160"/>
      <c r="Q332" s="160"/>
    </row>
    <row r="333" spans="1:17" x14ac:dyDescent="0.25">
      <c r="A333" s="86"/>
      <c r="B333" s="86" t="s">
        <v>669</v>
      </c>
      <c r="C333" s="87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8"/>
      <c r="O333" s="89"/>
      <c r="P333" s="88"/>
      <c r="Q333" s="86"/>
    </row>
    <row r="334" spans="1:17" x14ac:dyDescent="0.25">
      <c r="A334" s="86"/>
      <c r="B334" s="86" t="s">
        <v>670</v>
      </c>
      <c r="C334" s="87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8"/>
      <c r="O334" s="89"/>
      <c r="P334" s="88"/>
      <c r="Q334" s="86"/>
    </row>
    <row r="335" spans="1:17" x14ac:dyDescent="0.25">
      <c r="A335" s="86"/>
      <c r="B335" s="86" t="s">
        <v>671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25">
      <c r="A336" s="86"/>
      <c r="B336" s="86" t="s">
        <v>672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25">
      <c r="A337" s="86"/>
      <c r="B337" s="86" t="s">
        <v>673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25">
      <c r="A338" s="86"/>
      <c r="B338" s="86" t="s">
        <v>674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25">
      <c r="A339" s="86" t="s">
        <v>675</v>
      </c>
      <c r="B339" s="86" t="s">
        <v>676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25">
      <c r="A340" s="79" t="s">
        <v>677</v>
      </c>
      <c r="B340" s="86" t="s">
        <v>678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25">
      <c r="A341" s="79" t="s">
        <v>679</v>
      </c>
      <c r="B341" s="86" t="s">
        <v>680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25">
      <c r="A342" s="86" t="s">
        <v>681</v>
      </c>
      <c r="B342" s="86" t="s">
        <v>682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25">
      <c r="A343" s="86"/>
      <c r="B343" s="86" t="s">
        <v>683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25">
      <c r="A344" s="79" t="s">
        <v>684</v>
      </c>
      <c r="B344" s="86" t="s">
        <v>685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25">
      <c r="A345" s="86"/>
      <c r="B345" s="86" t="s">
        <v>686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25">
      <c r="A346" s="86"/>
      <c r="B346" s="86" t="s">
        <v>687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25">
      <c r="A347" s="86"/>
      <c r="B347" s="86" t="s">
        <v>688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25">
      <c r="A348" s="86" t="s">
        <v>689</v>
      </c>
      <c r="B348" s="86" t="s">
        <v>690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25">
      <c r="A349" s="86"/>
      <c r="B349" s="86" t="s">
        <v>691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25">
      <c r="A350" s="86"/>
      <c r="B350" s="86" t="s">
        <v>692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25">
      <c r="A351" s="79" t="s">
        <v>693</v>
      </c>
      <c r="B351" s="86" t="s">
        <v>694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25">
      <c r="A352" s="79" t="s">
        <v>695</v>
      </c>
      <c r="B352" s="79" t="s">
        <v>696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25">
      <c r="A353" s="79" t="s">
        <v>697</v>
      </c>
      <c r="B353" s="79" t="s">
        <v>698</v>
      </c>
      <c r="C353" s="79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25">
      <c r="A354" s="86" t="s">
        <v>675</v>
      </c>
      <c r="B354" s="86" t="s">
        <v>699</v>
      </c>
      <c r="C354" s="87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25">
      <c r="A355" s="79" t="s">
        <v>700</v>
      </c>
      <c r="B355" s="86" t="s">
        <v>701</v>
      </c>
      <c r="C355" s="87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25">
      <c r="A356" s="79" t="s">
        <v>702</v>
      </c>
      <c r="B356" s="86" t="s">
        <v>703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25">
      <c r="A357" s="79" t="s">
        <v>702</v>
      </c>
      <c r="B357" s="86" t="s">
        <v>704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25">
      <c r="A358" s="79" t="s">
        <v>705</v>
      </c>
      <c r="B358" s="86" t="s">
        <v>706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25">
      <c r="A359" s="79" t="s">
        <v>707</v>
      </c>
      <c r="B359" s="86" t="s">
        <v>708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25">
      <c r="A360" s="86" t="s">
        <v>675</v>
      </c>
      <c r="B360" s="86" t="s">
        <v>709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25">
      <c r="A361" s="79" t="s">
        <v>710</v>
      </c>
      <c r="B361" s="86" t="s">
        <v>711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25">
      <c r="A362" s="86"/>
      <c r="B362" s="86" t="s">
        <v>712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25">
      <c r="A363" s="86"/>
      <c r="B363" s="86" t="s">
        <v>713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25">
      <c r="A364" s="79" t="s">
        <v>714</v>
      </c>
      <c r="B364" s="86" t="s">
        <v>715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25">
      <c r="A365" s="86"/>
      <c r="B365" s="86" t="s">
        <v>716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25">
      <c r="A366" s="86"/>
      <c r="B366" s="86" t="s">
        <v>717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25">
      <c r="A367" s="86" t="s">
        <v>718</v>
      </c>
      <c r="B367" s="86" t="s">
        <v>719</v>
      </c>
      <c r="C367" s="86">
        <v>838.11</v>
      </c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25">
      <c r="A368" s="86">
        <v>858884</v>
      </c>
      <c r="B368" s="86" t="s">
        <v>720</v>
      </c>
      <c r="C368" s="86">
        <v>60.41</v>
      </c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25">
      <c r="A369" s="86"/>
      <c r="B369" s="86" t="s">
        <v>721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25">
      <c r="A370" s="90">
        <v>858212</v>
      </c>
      <c r="B370" s="117" t="s">
        <v>722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25">
      <c r="A371" s="79" t="s">
        <v>723</v>
      </c>
      <c r="B371" s="86" t="s">
        <v>724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25">
      <c r="A372" s="86"/>
      <c r="B372" s="86" t="s">
        <v>725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25">
      <c r="A373" s="86"/>
      <c r="B373" s="86" t="s">
        <v>726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25">
      <c r="A374" s="79" t="s">
        <v>727</v>
      </c>
      <c r="B374" s="86" t="s">
        <v>728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25">
      <c r="A375" s="79" t="s">
        <v>729</v>
      </c>
      <c r="B375" s="79" t="s">
        <v>730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25">
      <c r="A376" s="86"/>
      <c r="B376" s="86" t="s">
        <v>731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91"/>
      <c r="P376" s="88"/>
      <c r="Q376" s="86"/>
    </row>
    <row r="377" spans="1:17" x14ac:dyDescent="0.25">
      <c r="A377" s="86"/>
      <c r="B377" s="86" t="s">
        <v>732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91"/>
      <c r="P377" s="88"/>
      <c r="Q377" s="86"/>
    </row>
    <row r="378" spans="1:17" x14ac:dyDescent="0.25">
      <c r="A378" s="86"/>
      <c r="B378" s="86" t="s">
        <v>733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25">
      <c r="A379" s="86"/>
      <c r="B379" s="86" t="s">
        <v>734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25">
      <c r="A380" s="79" t="s">
        <v>735</v>
      </c>
      <c r="B380" s="86" t="s">
        <v>736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25">
      <c r="A381" s="79" t="s">
        <v>735</v>
      </c>
      <c r="B381" s="86" t="s">
        <v>737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25">
      <c r="A382" s="86"/>
      <c r="B382" s="86" t="s">
        <v>738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25">
      <c r="A383" s="86"/>
      <c r="B383" s="86" t="s">
        <v>739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25">
      <c r="A384" s="54">
        <v>859792</v>
      </c>
      <c r="B384" s="86" t="s">
        <v>740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25">
      <c r="A385" s="86"/>
      <c r="B385" s="86" t="s">
        <v>741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25">
      <c r="A386" s="86"/>
      <c r="B386" s="86" t="s">
        <v>742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25">
      <c r="A387" s="79" t="s">
        <v>743</v>
      </c>
      <c r="B387" s="79" t="s">
        <v>744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25">
      <c r="A388" s="79" t="s">
        <v>745</v>
      </c>
      <c r="B388" s="79" t="s">
        <v>746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25">
      <c r="A389" s="54" t="s">
        <v>747</v>
      </c>
      <c r="B389" s="79" t="s">
        <v>748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25">
      <c r="A390" s="79" t="s">
        <v>749</v>
      </c>
      <c r="B390" s="79" t="s">
        <v>750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25">
      <c r="A391" s="79" t="s">
        <v>697</v>
      </c>
      <c r="B391" s="79" t="s">
        <v>698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25">
      <c r="A392" s="92" t="s">
        <v>751</v>
      </c>
      <c r="B392" s="93" t="s">
        <v>752</v>
      </c>
      <c r="C392" s="117">
        <v>180.44</v>
      </c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94"/>
      <c r="O392" s="95"/>
      <c r="P392" s="94"/>
      <c r="Q392" s="117"/>
    </row>
    <row r="393" spans="1:17" x14ac:dyDescent="0.25">
      <c r="A393" s="117">
        <v>857084</v>
      </c>
      <c r="B393" s="117" t="s">
        <v>753</v>
      </c>
      <c r="C393" s="117">
        <v>155.4</v>
      </c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</row>
    <row r="394" spans="1:17" x14ac:dyDescent="0.25">
      <c r="A394" s="117">
        <v>857501</v>
      </c>
      <c r="B394" s="117" t="s">
        <v>754</v>
      </c>
      <c r="C394" s="117">
        <v>160.13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</row>
  </sheetData>
  <mergeCells count="36">
    <mergeCell ref="A332:Q332"/>
    <mergeCell ref="A170:Q170"/>
    <mergeCell ref="A192:Q192"/>
    <mergeCell ref="A240:Q240"/>
    <mergeCell ref="A255:Q255"/>
    <mergeCell ref="A269:Q269"/>
    <mergeCell ref="D161:D162"/>
    <mergeCell ref="D164:D167"/>
    <mergeCell ref="A287:Q287"/>
    <mergeCell ref="A306:Q306"/>
    <mergeCell ref="A323:Q323"/>
    <mergeCell ref="D147:D148"/>
    <mergeCell ref="D149:D151"/>
    <mergeCell ref="D153:D154"/>
    <mergeCell ref="D155:D156"/>
    <mergeCell ref="D157:D158"/>
    <mergeCell ref="D119:D122"/>
    <mergeCell ref="A129:Q129"/>
    <mergeCell ref="D130:D132"/>
    <mergeCell ref="D133:D139"/>
    <mergeCell ref="D140:D144"/>
    <mergeCell ref="A84:Q84"/>
    <mergeCell ref="A99:Q99"/>
    <mergeCell ref="A105:Q105"/>
    <mergeCell ref="A109:Q109"/>
    <mergeCell ref="A110:Q110"/>
    <mergeCell ref="A36:Q36"/>
    <mergeCell ref="A46:Q46"/>
    <mergeCell ref="A54:Q54"/>
    <mergeCell ref="A71:Q71"/>
    <mergeCell ref="A78:Q78"/>
    <mergeCell ref="A2:Q2"/>
    <mergeCell ref="F1:M1"/>
    <mergeCell ref="O1:P1"/>
    <mergeCell ref="A7:Q7"/>
    <mergeCell ref="A20:Q20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Roman,Normale"&amp;12&amp;A</oddHeader>
    <oddFooter>&amp;C&amp;"Times New Roman,Normale"&amp;12Pagina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ulsante3_Click">
                <anchor>
                  <from>
                    <xdr:col>18</xdr:col>
                    <xdr:colOff>457200</xdr:colOff>
                    <xdr:row>0</xdr:row>
                    <xdr:rowOff>0</xdr:rowOff>
                  </from>
                  <to>
                    <xdr:col>22</xdr:col>
                    <xdr:colOff>676275</xdr:colOff>
                    <xdr:row>0</xdr:row>
                    <xdr:rowOff>819150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H11"/>
  <sheetViews>
    <sheetView zoomScale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17.5703125" style="127" customWidth="1"/>
    <col min="2" max="2" width="30.5703125" bestFit="1" customWidth="1"/>
    <col min="3" max="3" width="21.140625" bestFit="1" customWidth="1"/>
    <col min="4" max="4" width="27.85546875" style="112" bestFit="1" customWidth="1"/>
    <col min="5" max="5" width="22.42578125" style="95" bestFit="1" customWidth="1"/>
    <col min="6" max="6" width="25.42578125" style="112" bestFit="1" customWidth="1"/>
    <col min="7" max="7" width="22" style="112" bestFit="1" customWidth="1"/>
    <col min="8" max="8" width="34.7109375" style="122" bestFit="1" customWidth="1"/>
  </cols>
  <sheetData>
    <row r="1" spans="1:8" ht="35.450000000000003" customHeight="1" x14ac:dyDescent="0.35">
      <c r="A1" s="126" t="s">
        <v>287</v>
      </c>
      <c r="B1" s="119" t="s">
        <v>288</v>
      </c>
      <c r="C1" s="119" t="s">
        <v>289</v>
      </c>
      <c r="D1" s="120" t="s">
        <v>911</v>
      </c>
      <c r="E1" s="121" t="s">
        <v>912</v>
      </c>
      <c r="F1" s="120" t="s">
        <v>913</v>
      </c>
      <c r="G1" s="120" t="s">
        <v>914</v>
      </c>
      <c r="H1" s="119" t="s">
        <v>915</v>
      </c>
    </row>
    <row r="2" spans="1:8" x14ac:dyDescent="0.25">
      <c r="A2" s="127" t="s">
        <v>305</v>
      </c>
      <c r="B2" t="s">
        <v>306</v>
      </c>
      <c r="C2" t="s">
        <v>297</v>
      </c>
      <c r="D2" s="112">
        <v>160</v>
      </c>
      <c r="E2" s="95">
        <v>0.5</v>
      </c>
      <c r="F2" s="112">
        <v>80</v>
      </c>
      <c r="G2" s="112">
        <v>80</v>
      </c>
      <c r="H2" s="122">
        <v>1</v>
      </c>
    </row>
    <row r="3" spans="1:8" x14ac:dyDescent="0.25">
      <c r="A3" s="128" t="s">
        <v>305</v>
      </c>
      <c r="B3" t="s">
        <v>306</v>
      </c>
      <c r="C3" t="s">
        <v>297</v>
      </c>
      <c r="D3" s="112">
        <v>160</v>
      </c>
      <c r="E3" s="95">
        <v>0.5</v>
      </c>
      <c r="F3" s="112">
        <v>80</v>
      </c>
      <c r="G3" s="112">
        <v>80</v>
      </c>
      <c r="H3" s="122">
        <v>1</v>
      </c>
    </row>
    <row r="4" spans="1:8" x14ac:dyDescent="0.25">
      <c r="A4" s="128" t="s">
        <v>305</v>
      </c>
      <c r="B4" t="s">
        <v>306</v>
      </c>
      <c r="C4" t="s">
        <v>297</v>
      </c>
      <c r="D4" s="112">
        <v>160</v>
      </c>
      <c r="E4" s="95">
        <v>0.5</v>
      </c>
      <c r="F4" s="112">
        <v>80</v>
      </c>
      <c r="G4" s="112">
        <v>80</v>
      </c>
      <c r="H4" s="122">
        <v>1</v>
      </c>
    </row>
    <row r="5" spans="1:8" x14ac:dyDescent="0.25">
      <c r="A5" s="128">
        <v>858836</v>
      </c>
      <c r="B5" t="s">
        <v>304</v>
      </c>
      <c r="C5" t="s">
        <v>303</v>
      </c>
      <c r="D5" s="112">
        <v>20.329999923706055</v>
      </c>
      <c r="E5" s="95">
        <v>0.5</v>
      </c>
      <c r="F5" s="112">
        <v>10.164999961853027</v>
      </c>
      <c r="G5" s="112">
        <v>10.164999961853027</v>
      </c>
      <c r="H5" s="122">
        <v>1</v>
      </c>
    </row>
    <row r="6" spans="1:8" x14ac:dyDescent="0.25">
      <c r="A6" s="128"/>
    </row>
    <row r="7" spans="1:8" x14ac:dyDescent="0.25">
      <c r="A7" s="128"/>
    </row>
    <row r="8" spans="1:8" x14ac:dyDescent="0.25">
      <c r="A8" s="128"/>
    </row>
    <row r="9" spans="1:8" x14ac:dyDescent="0.25">
      <c r="A9" s="129"/>
    </row>
    <row r="11" spans="1:8" x14ac:dyDescent="0.25">
      <c r="B11" s="118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1268" r:id="rId4" name="ELIMINA">
          <controlPr defaultSize="0" autoLine="0" r:id="rId5">
            <anchor>
              <from>
                <xdr:col>8</xdr:col>
                <xdr:colOff>266700</xdr:colOff>
                <xdr:row>0</xdr:row>
                <xdr:rowOff>0</xdr:rowOff>
              </from>
              <to>
                <xdr:col>11</xdr:col>
                <xdr:colOff>514350</xdr:colOff>
                <xdr:row>1</xdr:row>
                <xdr:rowOff>19050</xdr:rowOff>
              </to>
            </anchor>
          </controlPr>
        </control>
      </mc:Choice>
      <mc:Fallback>
        <control shapeId="11268" r:id="rId4" name="ELIMIN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Admin</cp:lastModifiedBy>
  <cp:revision>290</cp:revision>
  <cp:lastPrinted>2019-09-23T14:18:09Z</cp:lastPrinted>
  <dcterms:created xsi:type="dcterms:W3CDTF">2019-09-23T13:57:21Z</dcterms:created>
  <dcterms:modified xsi:type="dcterms:W3CDTF">2020-01-13T08:22:41Z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